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protec-my.sharepoint.com/personal/nayan_sarkar_livprotec_com/Documents/Desktop/Napthalene/Research_Naphtha_Lq/"/>
    </mc:Choice>
  </mc:AlternateContent>
  <xr:revisionPtr revIDLastSave="401" documentId="13_ncr:b_{16CADA67-7F7E-4E52-8151-9836B2CD85A7}" xr6:coauthVersionLast="47" xr6:coauthVersionMax="47" xr10:uidLastSave="{12EB70FB-EC5A-4D6E-BF67-F79A8AB6C574}"/>
  <bookViews>
    <workbookView xWindow="-108" yWindow="-108" windowWidth="23256" windowHeight="12456" xr2:uid="{667A0E47-6077-4145-B203-14EA3432C852}"/>
  </bookViews>
  <sheets>
    <sheet name="Global_CrudeOil_Vol" sheetId="9" r:id="rId1"/>
    <sheet name="India_CrudeOil" sheetId="10" r:id="rId2"/>
    <sheet name="India_import_25-26" sheetId="1" r:id="rId3"/>
    <sheet name="India_import_24-25" sheetId="2" r:id="rId4"/>
    <sheet name="India_inport_23-24" sheetId="3" r:id="rId5"/>
  </sheets>
  <definedNames>
    <definedName name="_xlnm._FilterDatabase" localSheetId="0" hidden="1">Global_CrudeOil_Vol!$D$36:$D$41</definedName>
    <definedName name="_xlnm._FilterDatabase" localSheetId="1" hidden="1">India_CrudeOil!$D$56:$D$65</definedName>
    <definedName name="_xlchart.v2.0" hidden="1">India_CrudeOil!$B$72:$B$77</definedName>
    <definedName name="_xlchart.v2.1" hidden="1">India_CrudeOil!$D$71</definedName>
    <definedName name="_xlchart.v2.2" hidden="1">India_CrudeOil!$D$72:$D$77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3" l="1"/>
  <c r="L39" i="3"/>
  <c r="K39" i="3"/>
  <c r="J39" i="3"/>
  <c r="I39" i="3"/>
  <c r="H39" i="3"/>
  <c r="G39" i="3"/>
  <c r="F39" i="3"/>
  <c r="E39" i="3"/>
  <c r="D39" i="3"/>
  <c r="C39" i="3"/>
  <c r="B39" i="3"/>
  <c r="N38" i="3"/>
  <c r="N37" i="3"/>
  <c r="N36" i="3"/>
  <c r="N35" i="3"/>
  <c r="N34" i="3"/>
  <c r="N33" i="3"/>
  <c r="N32" i="3"/>
  <c r="N31" i="3"/>
  <c r="N30" i="3"/>
  <c r="N29" i="3"/>
  <c r="N28" i="3"/>
  <c r="N27" i="3"/>
  <c r="N39" i="3"/>
  <c r="E25" i="3"/>
  <c r="E40" i="3"/>
  <c r="M24" i="3"/>
  <c r="M25" i="3"/>
  <c r="M40" i="3"/>
  <c r="L24" i="3"/>
  <c r="L25" i="3"/>
  <c r="L40" i="3"/>
  <c r="K24" i="3"/>
  <c r="K25" i="3"/>
  <c r="K40" i="3"/>
  <c r="J24" i="3"/>
  <c r="J25" i="3"/>
  <c r="J40" i="3"/>
  <c r="I24" i="3"/>
  <c r="I25" i="3"/>
  <c r="I40" i="3"/>
  <c r="H24" i="3"/>
  <c r="H25" i="3"/>
  <c r="H40" i="3"/>
  <c r="G24" i="3"/>
  <c r="G25" i="3"/>
  <c r="G40" i="3"/>
  <c r="F24" i="3"/>
  <c r="F25" i="3"/>
  <c r="F40" i="3"/>
  <c r="E24" i="3"/>
  <c r="D24" i="3"/>
  <c r="D25" i="3"/>
  <c r="D40" i="3"/>
  <c r="C24" i="3"/>
  <c r="C25" i="3"/>
  <c r="C40" i="3"/>
  <c r="B24" i="3"/>
  <c r="B25" i="3"/>
  <c r="B40" i="3"/>
  <c r="N23" i="3"/>
  <c r="N22" i="3"/>
  <c r="N21" i="3"/>
  <c r="N20" i="3"/>
  <c r="N19" i="3"/>
  <c r="N18" i="3"/>
  <c r="N17" i="3"/>
  <c r="N16" i="3"/>
  <c r="N24" i="3"/>
  <c r="N15" i="3"/>
  <c r="N14" i="3"/>
  <c r="N13" i="3"/>
  <c r="N11" i="3"/>
  <c r="N25" i="3"/>
  <c r="N40" i="3"/>
  <c r="M39" i="2"/>
  <c r="L39" i="2"/>
  <c r="K39" i="2"/>
  <c r="J39" i="2"/>
  <c r="I39" i="2"/>
  <c r="H39" i="2"/>
  <c r="G39" i="2"/>
  <c r="F39" i="2"/>
  <c r="E39" i="2"/>
  <c r="D39" i="2"/>
  <c r="C39" i="2"/>
  <c r="B39" i="2"/>
  <c r="N38" i="2"/>
  <c r="N37" i="2"/>
  <c r="N36" i="2"/>
  <c r="N35" i="2"/>
  <c r="N34" i="2"/>
  <c r="N33" i="2"/>
  <c r="N32" i="2"/>
  <c r="N31" i="2"/>
  <c r="N30" i="2"/>
  <c r="N29" i="2"/>
  <c r="N28" i="2"/>
  <c r="N27" i="2"/>
  <c r="N39" i="2"/>
  <c r="D25" i="2"/>
  <c r="D40" i="2"/>
  <c r="M24" i="2"/>
  <c r="M25" i="2"/>
  <c r="M40" i="2"/>
  <c r="L24" i="2"/>
  <c r="L25" i="2"/>
  <c r="L40" i="2"/>
  <c r="K24" i="2"/>
  <c r="K25" i="2"/>
  <c r="K40" i="2"/>
  <c r="J24" i="2"/>
  <c r="J25" i="2"/>
  <c r="J40" i="2"/>
  <c r="I24" i="2"/>
  <c r="I25" i="2"/>
  <c r="I40" i="2"/>
  <c r="H24" i="2"/>
  <c r="H25" i="2"/>
  <c r="H40" i="2"/>
  <c r="G24" i="2"/>
  <c r="G25" i="2"/>
  <c r="G40" i="2"/>
  <c r="F24" i="2"/>
  <c r="F25" i="2"/>
  <c r="F40" i="2"/>
  <c r="E24" i="2"/>
  <c r="E25" i="2"/>
  <c r="E40" i="2"/>
  <c r="D24" i="2"/>
  <c r="C24" i="2"/>
  <c r="C25" i="2"/>
  <c r="C40" i="2"/>
  <c r="B24" i="2"/>
  <c r="B25" i="2"/>
  <c r="B40" i="2"/>
  <c r="N23" i="2"/>
  <c r="N22" i="2"/>
  <c r="N21" i="2"/>
  <c r="N20" i="2"/>
  <c r="N19" i="2"/>
  <c r="N18" i="2"/>
  <c r="N17" i="2"/>
  <c r="N16" i="2"/>
  <c r="N15" i="2"/>
  <c r="N24" i="2"/>
  <c r="N14" i="2"/>
  <c r="N13" i="2"/>
  <c r="N11" i="2"/>
  <c r="N25" i="2"/>
  <c r="N40" i="2"/>
</calcChain>
</file>

<file path=xl/sharedStrings.xml><?xml version="1.0" encoding="utf-8"?>
<sst xmlns="http://schemas.openxmlformats.org/spreadsheetml/2006/main" count="381" uniqueCount="195">
  <si>
    <t>Petroleum Planning &amp; Analysis Cell</t>
  </si>
  <si>
    <t>('000 Metric Tonnes)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</si>
  <si>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</si>
  <si>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</si>
  <si>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</si>
  <si>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</si>
  <si>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</si>
  <si>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</si>
  <si>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</si>
  <si>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</si>
  <si>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</si>
  <si>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</si>
  <si>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</si>
  <si>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</si>
  <si>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</si>
  <si>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</si>
  <si>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</si>
  <si>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IMPORT^</t>
  </si>
  <si>
    <t xml:space="preserve"> CRUDE OIL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</si>
  <si>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</si>
  <si>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</si>
  <si>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</si>
  <si>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</si>
  <si>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</si>
  <si>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</si>
  <si>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</si>
  <si>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</si>
  <si>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</si>
  <si>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</si>
  <si>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</si>
  <si>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</si>
  <si>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</si>
  <si>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</si>
  <si>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t xml:space="preserve"> PRODUCT EXPORT @</t>
  </si>
  <si>
    <t>MS!</t>
  </si>
  <si>
    <t>Naphtha$</t>
  </si>
  <si>
    <t>ATF#</t>
  </si>
  <si>
    <t>LDO</t>
  </si>
  <si>
    <t>LOBS/ Lube Oil</t>
  </si>
  <si>
    <t>Petcoke / CBFS</t>
  </si>
  <si>
    <t>Others%</t>
  </si>
  <si>
    <t>TOTAL  PRODUCT EXPORT</t>
  </si>
  <si>
    <t>NET IMPORT</t>
  </si>
  <si>
    <t>Notes:</t>
  </si>
  <si>
    <t>RIL SEZ imports/exports included in country's import/export data</t>
  </si>
  <si>
    <t xml:space="preserve">^LNG import not included 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</si>
  <si>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</si>
  <si>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</si>
  <si>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</si>
  <si>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</si>
  <si>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</si>
  <si>
    <t>Petroleum Export data are based on Oil Refining Company's reported data</t>
  </si>
  <si>
    <t>2025-26</t>
  </si>
  <si>
    <t>Source: Oil Companies &amp; DGCIS , All Figures are provisional, DGCIS data is prorated for November 2025 and December 2025.</t>
  </si>
  <si>
    <t>2024-25</t>
  </si>
  <si>
    <t>Source: Oil Companies &amp; DGCIS</t>
  </si>
  <si>
    <t>Data is provisional</t>
  </si>
  <si>
    <t>2023-24</t>
  </si>
  <si>
    <t>Country</t>
  </si>
  <si>
    <t>Saudi Arabia</t>
  </si>
  <si>
    <t>Russia</t>
  </si>
  <si>
    <t>China</t>
  </si>
  <si>
    <t>India</t>
  </si>
  <si>
    <t>Production (MMT/Y)</t>
  </si>
  <si>
    <t>Saudi Aramco</t>
  </si>
  <si>
    <t>ExxonMobil</t>
  </si>
  <si>
    <t>USA</t>
  </si>
  <si>
    <t>PetroChina</t>
  </si>
  <si>
    <t>Chevron</t>
  </si>
  <si>
    <t>Company</t>
  </si>
  <si>
    <t>Market Cap (USD Billion)</t>
  </si>
  <si>
    <t>Shell</t>
  </si>
  <si>
    <t>UK</t>
  </si>
  <si>
    <t>Refining Capacity (MMT/Y)</t>
  </si>
  <si>
    <t>Sinopec</t>
  </si>
  <si>
    <t>Reliance Industries</t>
  </si>
  <si>
    <t>Top Global Refining Companies (2025–2026)</t>
  </si>
  <si>
    <t>Top Global Crude Oil Producing Companies (2025–2026)</t>
  </si>
  <si>
    <t>BP</t>
  </si>
  <si>
    <t>Indian Oil Corp</t>
  </si>
  <si>
    <t>Top Global Downstream / Retail Energy Companies</t>
  </si>
  <si>
    <t>Retail Stations</t>
  </si>
  <si>
    <t>Crude Oil Imports (MMT, FY 2024–25)</t>
  </si>
  <si>
    <t>Indian Oil Corp Ltd (IOC)</t>
  </si>
  <si>
    <t>Reliance Ind Ltd</t>
  </si>
  <si>
    <t>Bharat Petroleum Corp Ltd (BPCL)</t>
  </si>
  <si>
    <t>Nayara Energy Ltd</t>
  </si>
  <si>
    <t>Hindustan Petroleum (HPCL)</t>
  </si>
  <si>
    <t>MRPL</t>
  </si>
  <si>
    <t>US</t>
  </si>
  <si>
    <t>U</t>
  </si>
  <si>
    <t>D</t>
  </si>
  <si>
    <t>Producer Category</t>
  </si>
  <si>
    <t>Player Name</t>
  </si>
  <si>
    <t>Volume (MMT/Y)</t>
  </si>
  <si>
    <t>Share (%)</t>
  </si>
  <si>
    <t>State-Owned (PSU)</t>
  </si>
  <si>
    <t>Private / JV</t>
  </si>
  <si>
    <t>Crude Oil Production Volume by Major Player (FY 2023-24)</t>
  </si>
  <si>
    <t>Others</t>
  </si>
  <si>
    <t>ONGC</t>
  </si>
  <si>
    <t>OIL</t>
  </si>
  <si>
    <t>Table 1: Crude Oil Pipeline Transportation (Capacity Share)</t>
  </si>
  <si>
    <t>Pipeline Length (km)</t>
  </si>
  <si>
    <t>Throughput Capacity (MMTPA)</t>
  </si>
  <si>
    <t>Market Share (%)</t>
  </si>
  <si>
    <t>Indian Oil (IOCL)</t>
  </si>
  <si>
    <t>Oil India (OIL)</t>
  </si>
  <si>
    <t>BPCL / HPCL</t>
  </si>
  <si>
    <t>—</t>
  </si>
  <si>
    <t>Table 2: Crude Oil Storage (Capacity Volume)</t>
  </si>
  <si>
    <t>Category</t>
  </si>
  <si>
    <t>Storage Entity</t>
  </si>
  <si>
    <t>Capacity (MMT)</t>
  </si>
  <si>
    <t>Strategic (ISPRL)</t>
  </si>
  <si>
    <t>Visakhapatnam</t>
  </si>
  <si>
    <t>Mangaluru</t>
  </si>
  <si>
    <t>Padur</t>
  </si>
  <si>
    <t>Operational (OMCs)</t>
  </si>
  <si>
    <t>IOCL, BPCL, HPCL</t>
  </si>
  <si>
    <t>India National Storage</t>
  </si>
  <si>
    <t>1. Refining Capacity (FY 2024-25) </t>
  </si>
  <si>
    <t>Company </t>
  </si>
  <si>
    <t>Sector</t>
  </si>
  <si>
    <t>Capacity (MMTPA)</t>
  </si>
  <si>
    <t>Key Assets</t>
  </si>
  <si>
    <t>PSU</t>
  </si>
  <si>
    <t>~27.2%</t>
  </si>
  <si>
    <t>Panipat, Paradip, Koyali</t>
  </si>
  <si>
    <t>Private</t>
  </si>
  <si>
    <t>~26.4%</t>
  </si>
  <si>
    <t>Jamnagar (DTA &amp; SEZ)</t>
  </si>
  <si>
    <t>Bharat Petroleum (BPCL)</t>
  </si>
  <si>
    <t>~13.7%</t>
  </si>
  <si>
    <t>Kochi, Mumbai, Bina</t>
  </si>
  <si>
    <t>~9.5%</t>
  </si>
  <si>
    <t>Vizag, Mumbai</t>
  </si>
  <si>
    <t>Nayara Energy</t>
  </si>
  <si>
    <t>~7.7%</t>
  </si>
  <si>
    <t>Vadinar</t>
  </si>
  <si>
    <t>ONGC (MRPL)</t>
  </si>
  <si>
    <t>~5.8%</t>
  </si>
  <si>
    <t>HMEL (HPCL-Mittal JV)</t>
  </si>
  <si>
    <t>JV</t>
  </si>
  <si>
    <t>~4.4%</t>
  </si>
  <si>
    <t>Bathinda</t>
  </si>
  <si>
    <t>Chennai Petroleum (CPCL)</t>
  </si>
  <si>
    <t>PSU (IOCL)</t>
  </si>
  <si>
    <t>~4.1%</t>
  </si>
  <si>
    <t>Manali</t>
  </si>
  <si>
    <t>Others (NRL, ONGC)</t>
  </si>
  <si>
    <t>~1.2%</t>
  </si>
  <si>
    <t>Numaligarh, Tatipaka</t>
  </si>
  <si>
    <t>Brand Name</t>
  </si>
  <si>
    <t>No. of Outlets</t>
  </si>
  <si>
    <t>IndianOil</t>
  </si>
  <si>
    <t>Bharat Petroleum</t>
  </si>
  <si>
    <t>HP</t>
  </si>
  <si>
    <t>Nayara</t>
  </si>
  <si>
    <t>Reliance-BP (Jio-bp)</t>
  </si>
  <si>
    <t>Jio-bp</t>
  </si>
  <si>
    <t>Shell &amp; Others</t>
  </si>
  <si>
    <t>Retail Market (Fuel Stations) (Nov 2025 Data)</t>
  </si>
  <si>
    <t xml:space="preserve"> BPCL</t>
  </si>
  <si>
    <t>HPCL</t>
  </si>
  <si>
    <t>Global Players Matrix</t>
  </si>
  <si>
    <t>Seg</t>
  </si>
  <si>
    <t>Crude Oil (MMTPA / $Bn)</t>
  </si>
  <si>
    <t>Naphtha (MMTPA / $Bn)</t>
  </si>
  <si>
    <t>Gasoline (MMTPA / $Bn)</t>
  </si>
  <si>
    <t>ExxonMobil: 164 MMTPA (~$90B) Chevron: 164 MMTPA (~$90B)</t>
  </si>
  <si>
    <t>Chevron NGLs: 24 MMTPA (~$13B)</t>
  </si>
  <si>
    <t>ExxonMobil: 199 MMTPA (~$109B) Marathon: 147 MMTPA (~$81B) Valero: 159 MMTPA (~$87B)</t>
  </si>
  <si>
    <t>Est. 41% mix ≈ 82 MMTPA (~$45B)</t>
  </si>
  <si>
    <t>Marathon: 74 MMTPA (~$41B est.)</t>
  </si>
  <si>
    <t>PetroChina: 189 MMTPA (~$104B) Sinopec: 36 MMTPA (~$20B)</t>
  </si>
  <si>
    <t>Sinopec: 252 MMTPA (~$139B) PetroChina: 276 MMTPA (~$152B)</t>
  </si>
  <si>
    <t>Sinopec: 13.5 MMTPA (~$7B) PetroChina: 8.7 MMTPA (~$5B)</t>
  </si>
  <si>
    <t>Sinopec: 64 MMTPA (~$35B) PetroChina: 50 MMTPA (~$27B)</t>
  </si>
  <si>
    <t>Saudi Aramco: 598 MMTPA (~$329B)</t>
  </si>
  <si>
    <t>Growing NGL focus</t>
  </si>
  <si>
    <t>204 MMTPA (~$112B)</t>
  </si>
  <si>
    <t>SABIC: 35.6 MMTPA (~$20B est.)</t>
  </si>
  <si>
    <t>Integrated C2C model</t>
  </si>
  <si>
    <t>Rosneft: 184 MMTPA (~$101B) Lukoil: 80 MMTPA (~$44B) Gazprom Neft: 76 MMTPA (~$42B)</t>
  </si>
  <si>
    <t>Rosneft: 83 MMTPA (~$46B) Gazprom Neft: 43 MMTPA (~$24B)</t>
  </si>
  <si>
    <t>ONGC: 18.6 MMTPA (~$10B) BPCL (Intl): 1.8 MMTPA (~$1B)</t>
  </si>
  <si>
    <t>IOCL: 80.8 MMTPA (~$44B) BPCL: 35.3 MMTPA (~$19B) Reliance: 70 MMTPA (~$38B)</t>
  </si>
  <si>
    <t>IOCL: 3.2 MMTPA (~$1.8B) Reliance PX: 4.6 MMTPA (~$2.5B)</t>
  </si>
  <si>
    <t>BPCL products: ~50 MMTPA (~$27B)</t>
  </si>
  <si>
    <t>FY 2024–25 Total India Crude Imports (by Company, MMT)</t>
  </si>
  <si>
    <r>
      <t>Cairn Oil &amp; Gas</t>
    </r>
    <r>
      <rPr>
        <sz val="11"/>
        <color rgb="FF0A0A0A"/>
        <rFont val="Calibri"/>
        <family val="2"/>
        <scheme val="minor"/>
      </rPr>
      <t> (Vedanta)</t>
    </r>
  </si>
  <si>
    <r>
      <t>Private</t>
    </r>
    <r>
      <rPr>
        <sz val="11"/>
        <color rgb="FF0A0A0A"/>
        <rFont val="Calibri"/>
        <family val="2"/>
        <scheme val="minor"/>
      </rPr>
      <t> (Cairn/Reliance)</t>
    </r>
  </si>
  <si>
    <r>
      <t>Others / Gas-focussed</t>
    </r>
    <r>
      <rPr>
        <sz val="11"/>
        <color rgb="FF0A0A0A"/>
        <rFont val="Calibri"/>
        <family val="2"/>
        <scheme val="minor"/>
      </rPr>
      <t> (GAIL)</t>
    </r>
  </si>
  <si>
    <r>
      <t>India’s total refining capacity stood at </t>
    </r>
    <r>
      <rPr>
        <b/>
        <sz val="11"/>
        <color rgb="FF0A0A0A"/>
        <rFont val="Calibri"/>
        <family val="2"/>
        <scheme val="minor"/>
      </rPr>
      <t>258.1 MMTPA</t>
    </r>
    <r>
      <rPr>
        <sz val="11"/>
        <color rgb="FF0A0A0A"/>
        <rFont val="Calibri"/>
        <family val="2"/>
        <scheme val="minor"/>
      </rPr>
      <t> (Million Metric Tonnes Per Annum) as of April 1, 2025.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</si>
</sst>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1F1F1F"/>
      <name val="Arial"/>
      <family val="2"/>
    </font>
    <font>
      <b/>
      <sz val="11"/>
      <color rgb="FF0A0A0A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A0A0A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2" fillId="0" borderId="0"/>
  </cellStyleXfs>
  <cellXfs count="69">
    <xf numFmtId="0" fontId="0" fillId="0" borderId="0" xfId="0"/>
    <xf numFmtId="0" fontId="5" fillId="0" borderId="0" xfId="2" applyFont="1"/>
    <xf numFmtId="0" fontId="6" fillId="0" borderId="0" xfId="4" applyFont="1"/>
    <xf numFmtId="0" fontId="7" fillId="0" borderId="0" xfId="4" applyFont="1"/>
    <xf numFmtId="0" fontId="8" fillId="0" borderId="0" xfId="4" applyFont="1"/>
    <xf numFmtId="0" fontId="8" fillId="0" borderId="0" xfId="4" quotePrefix="1" applyFont="1" applyAlignment="1">
      <alignment horizontal="center"/>
    </xf>
    <xf numFmtId="15" fontId="9" fillId="0" borderId="0" xfId="2" applyNumberFormat="1" applyFont="1"/>
    <xf numFmtId="0" fontId="9" fillId="0" borderId="0" xfId="2" applyFont="1"/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left"/>
    </xf>
    <xf numFmtId="1" fontId="6" fillId="3" borderId="1" xfId="1" applyNumberFormat="1" applyFont="1" applyFill="1" applyBorder="1" applyAlignment="1">
      <alignment horizontal="center"/>
    </xf>
    <xf numFmtId="1" fontId="10" fillId="3" borderId="1" xfId="1" applyNumberFormat="1" applyFont="1" applyFill="1" applyBorder="1" applyAlignment="1">
      <alignment horizontal="center"/>
    </xf>
    <xf numFmtId="1" fontId="11" fillId="3" borderId="1" xfId="1" applyNumberFormat="1" applyFont="1" applyFill="1" applyBorder="1" applyAlignment="1">
      <alignment horizontal="right"/>
    </xf>
    <xf numFmtId="1" fontId="12" fillId="3" borderId="1" xfId="1" applyNumberFormat="1" applyFont="1" applyFill="1" applyBorder="1" applyAlignment="1">
      <alignment horizontal="right"/>
    </xf>
    <xf numFmtId="3" fontId="11" fillId="3" borderId="1" xfId="1" applyNumberFormat="1" applyFont="1" applyFill="1" applyBorder="1" applyAlignment="1">
      <alignment horizontal="right"/>
    </xf>
    <xf numFmtId="0" fontId="10" fillId="4" borderId="1" xfId="2" applyFont="1" applyFill="1" applyBorder="1" applyAlignment="1">
      <alignment horizontal="center"/>
    </xf>
    <xf numFmtId="1" fontId="12" fillId="4" borderId="1" xfId="2" applyNumberFormat="1" applyFont="1" applyFill="1" applyBorder="1" applyAlignment="1">
      <alignment horizontal="right"/>
    </xf>
    <xf numFmtId="0" fontId="10" fillId="4" borderId="1" xfId="2" applyFont="1" applyFill="1" applyBorder="1"/>
    <xf numFmtId="1" fontId="10" fillId="3" borderId="1" xfId="2" applyNumberFormat="1" applyFont="1" applyFill="1" applyBorder="1" applyAlignment="1">
      <alignment horizontal="left"/>
    </xf>
    <xf numFmtId="1" fontId="11" fillId="3" borderId="1" xfId="3" applyNumberFormat="1" applyFont="1" applyFill="1" applyBorder="1" applyAlignment="1">
      <alignment horizontal="right"/>
    </xf>
    <xf numFmtId="3" fontId="11" fillId="3" borderId="1" xfId="3" applyNumberFormat="1" applyFont="1" applyFill="1" applyBorder="1" applyAlignment="1">
      <alignment horizontal="right"/>
    </xf>
    <xf numFmtId="0" fontId="10" fillId="4" borderId="1" xfId="2" applyFont="1" applyFill="1" applyBorder="1" applyAlignment="1">
      <alignment horizontal="right"/>
    </xf>
    <xf numFmtId="0" fontId="13" fillId="0" borderId="0" xfId="3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4" fillId="0" borderId="0" xfId="3" quotePrefix="1" applyFont="1" applyAlignment="1">
      <alignment horizontal="left"/>
    </xf>
    <xf numFmtId="1" fontId="14" fillId="0" borderId="0" xfId="2" applyNumberFormat="1" applyFont="1" applyAlignment="1">
      <alignment horizontal="left" vertical="center" wrapText="1"/>
    </xf>
    <xf numFmtId="0" fontId="11" fillId="0" borderId="0" xfId="2" applyFont="1"/>
    <xf numFmtId="0" fontId="14" fillId="0" borderId="0" xfId="2" quotePrefix="1" applyFont="1" applyAlignment="1">
      <alignment horizontal="left"/>
    </xf>
    <xf numFmtId="0" fontId="14" fillId="5" borderId="2" xfId="2" applyFont="1" applyFill="1" applyBorder="1" applyAlignment="1">
      <alignment vertical="center"/>
    </xf>
    <xf numFmtId="0" fontId="14" fillId="5" borderId="3" xfId="2" applyFont="1" applyFill="1" applyBorder="1" applyAlignment="1">
      <alignment vertical="center"/>
    </xf>
    <xf numFmtId="0" fontId="14" fillId="5" borderId="0" xfId="2" applyFont="1" applyFill="1" applyAlignment="1">
      <alignment vertical="center" wrapText="1"/>
    </xf>
    <xf numFmtId="0" fontId="0" fillId="5" borderId="0" xfId="0" applyFill="1"/>
    <xf numFmtId="0" fontId="14" fillId="0" borderId="2" xfId="2" applyFont="1" applyBorder="1" applyAlignment="1">
      <alignment vertical="center"/>
    </xf>
    <xf numFmtId="0" fontId="14" fillId="0" borderId="3" xfId="2" applyFont="1" applyBorder="1" applyAlignment="1">
      <alignment vertical="center"/>
    </xf>
    <xf numFmtId="0" fontId="14" fillId="0" borderId="0" xfId="2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5" fillId="0" borderId="0" xfId="4" applyFont="1" applyAlignment="1">
      <alignment horizontal="right"/>
    </xf>
    <xf numFmtId="0" fontId="8" fillId="5" borderId="1" xfId="4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/>
    <xf numFmtId="0" fontId="17" fillId="6" borderId="1" xfId="0" applyFont="1" applyFill="1" applyBorder="1" applyAlignment="1">
      <alignment horizontal="left" vertical="center" wrapText="1" indent="1"/>
    </xf>
    <xf numFmtId="0" fontId="17" fillId="6" borderId="1" xfId="0" applyFont="1" applyFill="1" applyBorder="1" applyAlignment="1">
      <alignment horizontal="left" vertical="top" wrapText="1" indent="1"/>
    </xf>
    <xf numFmtId="0" fontId="17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vertical="top" wrapText="1" indent="1"/>
    </xf>
    <xf numFmtId="10" fontId="18" fillId="6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vertical="top" wrapText="1" indent="1"/>
    </xf>
    <xf numFmtId="3" fontId="18" fillId="0" borderId="1" xfId="0" applyNumberFormat="1" applyFont="1" applyBorder="1" applyAlignment="1">
      <alignment vertical="top" wrapText="1" indent="1"/>
    </xf>
    <xf numFmtId="0" fontId="18" fillId="0" borderId="1" xfId="0" applyFont="1" applyBorder="1" applyAlignment="1">
      <alignment vertical="top" wrapText="1" indent="1"/>
    </xf>
    <xf numFmtId="9" fontId="17" fillId="0" borderId="1" xfId="0" applyNumberFormat="1" applyFont="1" applyBorder="1" applyAlignment="1">
      <alignment vertical="top" wrapText="1"/>
    </xf>
    <xf numFmtId="0" fontId="17" fillId="7" borderId="0" xfId="0" applyFont="1" applyFill="1" applyAlignment="1">
      <alignment vertical="center" wrapText="1"/>
    </xf>
    <xf numFmtId="0" fontId="17" fillId="7" borderId="0" xfId="0" applyFont="1" applyFill="1"/>
    <xf numFmtId="0" fontId="4" fillId="7" borderId="0" xfId="0" applyFont="1" applyFill="1"/>
    <xf numFmtId="10" fontId="18" fillId="0" borderId="1" xfId="0" applyNumberFormat="1" applyFont="1" applyBorder="1" applyAlignment="1">
      <alignment vertical="top" wrapText="1"/>
    </xf>
    <xf numFmtId="0" fontId="18" fillId="7" borderId="0" xfId="0" applyFont="1" applyFill="1" applyAlignment="1">
      <alignment vertical="center" wrapText="1"/>
    </xf>
    <xf numFmtId="0" fontId="18" fillId="6" borderId="1" xfId="0" applyFont="1" applyFill="1" applyBorder="1" applyAlignment="1">
      <alignment vertical="top" wrapText="1" indent="1"/>
    </xf>
    <xf numFmtId="0" fontId="18" fillId="6" borderId="1" xfId="0" applyFont="1" applyFill="1" applyBorder="1" applyAlignment="1">
      <alignment vertical="top" wrapText="1"/>
    </xf>
    <xf numFmtId="3" fontId="17" fillId="6" borderId="1" xfId="0" applyNumberFormat="1" applyFont="1" applyFill="1" applyBorder="1" applyAlignment="1">
      <alignment vertical="top" wrapText="1" indent="1"/>
    </xf>
    <xf numFmtId="10" fontId="17" fillId="6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7" borderId="0" xfId="0" applyFont="1" applyFill="1"/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16" fillId="7" borderId="0" xfId="0" applyFont="1" applyFill="1" applyAlignment="1">
      <alignment vertical="center"/>
    </xf>
    <xf numFmtId="0" fontId="19" fillId="0" borderId="0" xfId="0" applyFont="1"/>
  </cellXfs>
  <cellStyles count="5">
    <cellStyle name="Normal" xfId="0" builtinId="0"/>
    <cellStyle name="Normal 2 2 3 5" xfId="1" xr:uid="{D57B2610-EE14-4C31-8AB9-3A31C998215C}"/>
    <cellStyle name="Normal 259" xfId="2" xr:uid="{A5730E56-8712-4930-915A-87BF447727FB}"/>
    <cellStyle name="Normal 259 4" xfId="3" xr:uid="{9B576504-4E6E-47DF-B987-BFE2C71C61CD}"/>
    <cellStyle name="Normal 4 2" xfId="4" xr:uid="{6F627933-73CD-4B37-8090-DD3FF9BB0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Global Crude Oil Producing Companies (2025–2026)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Global_CrudeOil_Vol!$D$3</c:f>
              <c:strCache>
                <c:ptCount val="1"/>
                <c:pt idx="0">
                  <c:v>Production (MMT/Y)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Global_CrudeOil_Vol!$B$4:$C$8</c15:sqref>
                  </c15:fullRef>
                  <c15:levelRef>
                    <c15:sqref>Global_CrudeOil_Vol!$B$4:$B$8</c15:sqref>
                  </c15:levelRef>
                </c:ext>
              </c:extLst>
              <c:f>Global_CrudeOil_Vol!$B$4:$B$8</c:f>
              <c:strCache>
                <c:ptCount val="5"/>
                <c:pt idx="0">
                  <c:v>Shell</c:v>
                </c:pt>
                <c:pt idx="1">
                  <c:v>PetroChina</c:v>
                </c:pt>
                <c:pt idx="2">
                  <c:v>Chevron</c:v>
                </c:pt>
                <c:pt idx="3">
                  <c:v>ExxonMobil</c:v>
                </c:pt>
                <c:pt idx="4">
                  <c:v>Saudi Aramco</c:v>
                </c:pt>
              </c:strCache>
            </c:strRef>
          </c:cat>
          <c:val>
            <c:numRef>
              <c:f>Global_CrudeOil_Vol!$D$4:$D$8</c:f>
              <c:numCache>
                <c:formatCode>General</c:formatCode>
                <c:ptCount val="5"/>
                <c:pt idx="0">
                  <c:v>78</c:v>
                </c:pt>
                <c:pt idx="1">
                  <c:v>160</c:v>
                </c:pt>
                <c:pt idx="2">
                  <c:v>153</c:v>
                </c:pt>
                <c:pt idx="3">
                  <c:v>158</c:v>
                </c:pt>
                <c:pt idx="4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C-4046-9606-344D7719B67C}"/>
            </c:ext>
          </c:extLst>
        </c:ser>
        <c:ser>
          <c:idx val="1"/>
          <c:order val="1"/>
          <c:tx>
            <c:strRef>
              <c:f>Global_CrudeOil_Vol!$E$3</c:f>
              <c:strCache>
                <c:ptCount val="1"/>
                <c:pt idx="0">
                  <c:v>Market Cap (USD Billion)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Global_CrudeOil_Vol!$B$4:$C$8</c15:sqref>
                  </c15:fullRef>
                  <c15:levelRef>
                    <c15:sqref>Global_CrudeOil_Vol!$B$4:$B$8</c15:sqref>
                  </c15:levelRef>
                </c:ext>
              </c:extLst>
              <c:f>Global_CrudeOil_Vol!$B$4:$B$8</c:f>
              <c:strCache>
                <c:ptCount val="5"/>
                <c:pt idx="0">
                  <c:v>Shell</c:v>
                </c:pt>
                <c:pt idx="1">
                  <c:v>PetroChina</c:v>
                </c:pt>
                <c:pt idx="2">
                  <c:v>Chevron</c:v>
                </c:pt>
                <c:pt idx="3">
                  <c:v>ExxonMobil</c:v>
                </c:pt>
                <c:pt idx="4">
                  <c:v>Saudi Aramco</c:v>
                </c:pt>
              </c:strCache>
            </c:strRef>
          </c:cat>
          <c:val>
            <c:numRef>
              <c:f>Global_CrudeOil_Vol!$E$4:$E$8</c:f>
              <c:numCache>
                <c:formatCode>General</c:formatCode>
                <c:ptCount val="5"/>
                <c:pt idx="0">
                  <c:v>225</c:v>
                </c:pt>
                <c:pt idx="1">
                  <c:v>301</c:v>
                </c:pt>
                <c:pt idx="2">
                  <c:v>368</c:v>
                </c:pt>
                <c:pt idx="3">
                  <c:v>621</c:v>
                </c:pt>
                <c:pt idx="4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C-4046-9606-344D7719B6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06273343"/>
        <c:axId val="1206277663"/>
      </c:barChart>
      <c:catAx>
        <c:axId val="12062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77663"/>
        <c:crosses val="autoZero"/>
        <c:auto val="1"/>
        <c:lblAlgn val="ctr"/>
        <c:lblOffset val="100"/>
        <c:noMultiLvlLbl val="0"/>
      </c:catAx>
      <c:valAx>
        <c:axId val="120627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627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Global_CrudeOil_Vol!$D$24</c:f>
              <c:strCache>
                <c:ptCount val="1"/>
                <c:pt idx="0">
                  <c:v>Refining Capacity (MMT/Y)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Global_CrudeOil_Vol!$B$25:$C$30</c15:sqref>
                  </c15:fullRef>
                  <c15:levelRef>
                    <c15:sqref>Global_CrudeOil_Vol!$B$25:$B$30</c15:sqref>
                  </c15:levelRef>
                </c:ext>
              </c:extLst>
              <c:f>Global_CrudeOil_Vol!$B$25:$B$30</c:f>
              <c:strCache>
                <c:ptCount val="6"/>
                <c:pt idx="0">
                  <c:v>Reliance Industries</c:v>
                </c:pt>
                <c:pt idx="1">
                  <c:v>Shell</c:v>
                </c:pt>
                <c:pt idx="2">
                  <c:v>ExxonMobil</c:v>
                </c:pt>
                <c:pt idx="3">
                  <c:v>PetroChina</c:v>
                </c:pt>
                <c:pt idx="4">
                  <c:v>Saudi Aramco</c:v>
                </c:pt>
                <c:pt idx="5">
                  <c:v>Sinopec</c:v>
                </c:pt>
              </c:strCache>
            </c:strRef>
          </c:cat>
          <c:val>
            <c:numRef>
              <c:f>Global_CrudeOil_Vol!$D$25:$D$30</c:f>
              <c:numCache>
                <c:formatCode>General</c:formatCode>
                <c:ptCount val="6"/>
                <c:pt idx="0">
                  <c:v>135</c:v>
                </c:pt>
                <c:pt idx="1">
                  <c:v>140</c:v>
                </c:pt>
                <c:pt idx="2">
                  <c:v>185</c:v>
                </c:pt>
                <c:pt idx="3">
                  <c:v>200</c:v>
                </c:pt>
                <c:pt idx="4">
                  <c:v>210</c:v>
                </c:pt>
                <c:pt idx="5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6-4867-B7F5-EDBFD11E0D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203790111"/>
        <c:axId val="1203792031"/>
      </c:barChart>
      <c:catAx>
        <c:axId val="1203790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92031"/>
        <c:crosses val="autoZero"/>
        <c:auto val="1"/>
        <c:lblAlgn val="ctr"/>
        <c:lblOffset val="100"/>
        <c:noMultiLvlLbl val="0"/>
      </c:catAx>
      <c:valAx>
        <c:axId val="1203792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79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Global_CrudeOil_Vol!$D$36</c:f>
              <c:strCache>
                <c:ptCount val="1"/>
                <c:pt idx="0">
                  <c:v>Retail Stations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Global_CrudeOil_Vol!$B$37:$C$41</c15:sqref>
                  </c15:fullRef>
                  <c15:levelRef>
                    <c15:sqref>Global_CrudeOil_Vol!$B$37:$B$41</c15:sqref>
                  </c15:levelRef>
                </c:ext>
              </c:extLst>
              <c:f>Global_CrudeOil_Vol!$B$37:$B$41</c:f>
              <c:strCache>
                <c:ptCount val="5"/>
                <c:pt idx="0">
                  <c:v>BP</c:v>
                </c:pt>
                <c:pt idx="1">
                  <c:v>PetroChina</c:v>
                </c:pt>
                <c:pt idx="2">
                  <c:v>Sinopec</c:v>
                </c:pt>
                <c:pt idx="3">
                  <c:v>Indian Oil Corp</c:v>
                </c:pt>
                <c:pt idx="4">
                  <c:v>Shell</c:v>
                </c:pt>
              </c:strCache>
            </c:strRef>
          </c:cat>
          <c:val>
            <c:numRef>
              <c:f>Global_CrudeOil_Vol!$D$37:$D$41</c:f>
              <c:numCache>
                <c:formatCode>#,##0</c:formatCode>
                <c:ptCount val="5"/>
                <c:pt idx="0">
                  <c:v>21000</c:v>
                </c:pt>
                <c:pt idx="1">
                  <c:v>22000</c:v>
                </c:pt>
                <c:pt idx="2">
                  <c:v>30000</c:v>
                </c:pt>
                <c:pt idx="3">
                  <c:v>36000</c:v>
                </c:pt>
                <c:pt idx="4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F-42AA-B5F7-B09B3B60A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2491695"/>
        <c:axId val="1402498895"/>
      </c:barChart>
      <c:catAx>
        <c:axId val="14024916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98895"/>
        <c:crosses val="autoZero"/>
        <c:auto val="1"/>
        <c:lblAlgn val="ctr"/>
        <c:lblOffset val="100"/>
        <c:noMultiLvlLbl val="0"/>
      </c:catAx>
      <c:valAx>
        <c:axId val="1402498895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40249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India_CrudeOil!$D$18</c:f>
              <c:strCache>
                <c:ptCount val="1"/>
                <c:pt idx="0">
                  <c:v>Volume (MMT/Y)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68-4BC3-8B57-6FCD89819018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68-4BC3-8B57-6FCD89819018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68-4BC3-8B57-6FCD89819018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77-4D83-9EA7-15EF93C2C908}"/>
              </c:ext>
            </c:extLst>
          </c:dPt>
          <c:dLbls>
            <c:dLbl>
              <c:idx val="0"/>
              <c:layout>
                <c:manualLayout>
                  <c:x val="-0.16067344706911635"/>
                  <c:y val="-0.1114231554389034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68-4BC3-8B57-6FCD89819018}"/>
                </c:ext>
              </c:extLst>
            </c:dLbl>
            <c:dLbl>
              <c:idx val="1"/>
              <c:layout>
                <c:manualLayout>
                  <c:x val="-1.3541994750656167E-2"/>
                  <c:y val="4.443533100029162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68-4BC3-8B57-6FCD89819018}"/>
                </c:ext>
              </c:extLst>
            </c:dLbl>
            <c:dLbl>
              <c:idx val="2"/>
              <c:layout>
                <c:manualLayout>
                  <c:x val="-7.3378390201224844E-2"/>
                  <c:y val="4.03280839895013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68-4BC3-8B57-6FCD898190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India_CrudeOil!$C$19:$C$22</c:f>
              <c:strCache>
                <c:ptCount val="4"/>
                <c:pt idx="0">
                  <c:v>ONGC</c:v>
                </c:pt>
                <c:pt idx="1">
                  <c:v>OIL</c:v>
                </c:pt>
                <c:pt idx="2">
                  <c:v>Cairn Oil &amp; Gas (Vedanta)</c:v>
                </c:pt>
                <c:pt idx="3">
                  <c:v>Others</c:v>
                </c:pt>
              </c:strCache>
            </c:strRef>
          </c:cat>
          <c:val>
            <c:numRef>
              <c:f>India_CrudeOil!$D$19:$D$22</c:f>
              <c:numCache>
                <c:formatCode>General</c:formatCode>
                <c:ptCount val="4"/>
                <c:pt idx="0">
                  <c:v>19.21</c:v>
                </c:pt>
                <c:pt idx="1">
                  <c:v>3.34</c:v>
                </c:pt>
                <c:pt idx="2">
                  <c:v>6.1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8-4BC3-8B57-6FCD89819018}"/>
            </c:ext>
          </c:extLst>
        </c:ser>
        <c:ser>
          <c:idx val="1"/>
          <c:order val="1"/>
          <c:tx>
            <c:strRef>
              <c:f>India_CrudeOil!$E$18</c:f>
              <c:strCache>
                <c:ptCount val="1"/>
                <c:pt idx="0">
                  <c:v>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77-4D83-9EA7-15EF93C2C908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77-4D83-9EA7-15EF93C2C908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77-4D83-9EA7-15EF93C2C908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77-4D83-9EA7-15EF93C2C9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India_CrudeOil!$C$19:$C$22</c:f>
              <c:strCache>
                <c:ptCount val="4"/>
                <c:pt idx="0">
                  <c:v>ONGC</c:v>
                </c:pt>
                <c:pt idx="1">
                  <c:v>OIL</c:v>
                </c:pt>
                <c:pt idx="2">
                  <c:v>Cairn Oil &amp; Gas (Vedanta)</c:v>
                </c:pt>
                <c:pt idx="3">
                  <c:v>Others</c:v>
                </c:pt>
              </c:strCache>
            </c:strRef>
          </c:cat>
          <c:val>
            <c:numRef>
              <c:f>India_CrudeOil!$E$19:$E$22</c:f>
              <c:numCache>
                <c:formatCode>0.00%</c:formatCode>
                <c:ptCount val="4"/>
                <c:pt idx="0">
                  <c:v>0.65400000000000003</c:v>
                </c:pt>
                <c:pt idx="1">
                  <c:v>0.114</c:v>
                </c:pt>
                <c:pt idx="2">
                  <c:v>0.20799999999999999</c:v>
                </c:pt>
                <c:pt idx="3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8-4BC3-8B57-6FCD898190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India_CrudeOil!$D$38</c:f>
              <c:strCache>
                <c:ptCount val="1"/>
                <c:pt idx="0">
                  <c:v>Capacity (MMT)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A-4995-89AF-1AC36DAAA2BD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0A-4995-89AF-1AC36DAAA2BD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0A-4995-89AF-1AC36DAAA2BD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0A-4995-89AF-1AC36DAAA2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India_CrudeOil!$C$39:$C$42</c:f>
              <c:strCache>
                <c:ptCount val="4"/>
                <c:pt idx="0">
                  <c:v>Visakhapatnam</c:v>
                </c:pt>
                <c:pt idx="1">
                  <c:v>Mangaluru</c:v>
                </c:pt>
                <c:pt idx="2">
                  <c:v>Padur</c:v>
                </c:pt>
                <c:pt idx="3">
                  <c:v>IOCL, BPCL, HPCL</c:v>
                </c:pt>
              </c:strCache>
            </c:strRef>
          </c:cat>
          <c:val>
            <c:numRef>
              <c:f>India_CrudeOil!$D$39:$D$42</c:f>
              <c:numCache>
                <c:formatCode>General</c:formatCode>
                <c:ptCount val="4"/>
                <c:pt idx="0">
                  <c:v>1.33</c:v>
                </c:pt>
                <c:pt idx="1">
                  <c:v>1.5</c:v>
                </c:pt>
                <c:pt idx="2">
                  <c:v>2.5</c:v>
                </c:pt>
                <c:pt idx="3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8-4EE4-97E5-8342A2823FF8}"/>
            </c:ext>
          </c:extLst>
        </c:ser>
        <c:ser>
          <c:idx val="1"/>
          <c:order val="1"/>
          <c:tx>
            <c:strRef>
              <c:f>India_CrudeOil!$E$38</c:f>
              <c:strCache>
                <c:ptCount val="1"/>
                <c:pt idx="0">
                  <c:v>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0A-4995-89AF-1AC36DAAA2BD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0A-4995-89AF-1AC36DAAA2BD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0A-4995-89AF-1AC36DAAA2BD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0A-4995-89AF-1AC36DAAA2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India_CrudeOil!$C$39:$C$42</c:f>
              <c:strCache>
                <c:ptCount val="4"/>
                <c:pt idx="0">
                  <c:v>Visakhapatnam</c:v>
                </c:pt>
                <c:pt idx="1">
                  <c:v>Mangaluru</c:v>
                </c:pt>
                <c:pt idx="2">
                  <c:v>Padur</c:v>
                </c:pt>
                <c:pt idx="3">
                  <c:v>IOCL, BPCL, HPCL</c:v>
                </c:pt>
              </c:strCache>
            </c:strRef>
          </c:cat>
          <c:val>
            <c:numRef>
              <c:f>India_CrudeOil!$E$39:$E$42</c:f>
              <c:numCache>
                <c:formatCode>0.00%</c:formatCode>
                <c:ptCount val="4"/>
                <c:pt idx="0">
                  <c:v>6.6000000000000003E-2</c:v>
                </c:pt>
                <c:pt idx="1">
                  <c:v>7.4999999999999997E-2</c:v>
                </c:pt>
                <c:pt idx="2">
                  <c:v>0.124</c:v>
                </c:pt>
                <c:pt idx="3">
                  <c:v>0.73499999999999999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8-4EE4-97E5-8342A2823F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India_CrudeOil!$C$27</c:f>
              <c:strCache>
                <c:ptCount val="1"/>
                <c:pt idx="0">
                  <c:v>Pipeline Length (km)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India_CrudeOil!$B$28:$B$32</c:f>
              <c:strCache>
                <c:ptCount val="5"/>
                <c:pt idx="0">
                  <c:v>Oil India (OIL)</c:v>
                </c:pt>
                <c:pt idx="1">
                  <c:v>Private (Cairn/Reliance)</c:v>
                </c:pt>
                <c:pt idx="2">
                  <c:v>BPCL / HPCL</c:v>
                </c:pt>
                <c:pt idx="3">
                  <c:v>Others / Gas-focussed (GAIL)</c:v>
                </c:pt>
                <c:pt idx="4">
                  <c:v>Indian Oil (IOCL)</c:v>
                </c:pt>
              </c:strCache>
            </c:strRef>
          </c:cat>
          <c:val>
            <c:numRef>
              <c:f>India_CrudeOil!$C$28:$C$32</c:f>
              <c:numCache>
                <c:formatCode>#,##0</c:formatCode>
                <c:ptCount val="5"/>
                <c:pt idx="0">
                  <c:v>1157</c:v>
                </c:pt>
                <c:pt idx="1">
                  <c:v>1500</c:v>
                </c:pt>
                <c:pt idx="2">
                  <c:v>6000</c:v>
                </c:pt>
                <c:pt idx="3">
                  <c:v>14000</c:v>
                </c:pt>
                <c:pt idx="4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6-4EC8-8AF7-1B1C823A0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4138720"/>
        <c:axId val="1874140640"/>
      </c:barChart>
      <c:catAx>
        <c:axId val="187413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140640"/>
        <c:crosses val="autoZero"/>
        <c:auto val="1"/>
        <c:lblAlgn val="ctr"/>
        <c:lblOffset val="100"/>
        <c:noMultiLvlLbl val="0"/>
      </c:catAx>
      <c:valAx>
        <c:axId val="187414064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8741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Refining Capacity (MMTPA)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India_CrudeOil!$D$56</c:f>
              <c:strCache>
                <c:ptCount val="1"/>
                <c:pt idx="0">
                  <c:v>Capacity (MMTPA)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India_CrudeOil!$B$57:$B$65</c:f>
              <c:strCache>
                <c:ptCount val="9"/>
                <c:pt idx="0">
                  <c:v>Others (NRL, ONGC)</c:v>
                </c:pt>
                <c:pt idx="1">
                  <c:v>Chennai Petroleum (CPCL)</c:v>
                </c:pt>
                <c:pt idx="2">
                  <c:v>HMEL (HPCL-Mittal JV)</c:v>
                </c:pt>
                <c:pt idx="3">
                  <c:v>ONGC (MRPL)</c:v>
                </c:pt>
                <c:pt idx="4">
                  <c:v>Nayara Energy</c:v>
                </c:pt>
                <c:pt idx="5">
                  <c:v>HPCL</c:v>
                </c:pt>
                <c:pt idx="6">
                  <c:v> BPCL</c:v>
                </c:pt>
                <c:pt idx="7">
                  <c:v>Reliance Industries</c:v>
                </c:pt>
                <c:pt idx="8">
                  <c:v>Indian Oil (IOCL)</c:v>
                </c:pt>
              </c:strCache>
            </c:strRef>
          </c:cat>
          <c:val>
            <c:numRef>
              <c:f>India_CrudeOil!$D$57:$D$65</c:f>
              <c:numCache>
                <c:formatCode>General</c:formatCode>
                <c:ptCount val="9"/>
                <c:pt idx="0">
                  <c:v>3.06</c:v>
                </c:pt>
                <c:pt idx="1">
                  <c:v>10.5</c:v>
                </c:pt>
                <c:pt idx="2">
                  <c:v>11.3</c:v>
                </c:pt>
                <c:pt idx="3">
                  <c:v>15</c:v>
                </c:pt>
                <c:pt idx="4">
                  <c:v>20</c:v>
                </c:pt>
                <c:pt idx="5">
                  <c:v>24.5</c:v>
                </c:pt>
                <c:pt idx="6">
                  <c:v>35.299999999999997</c:v>
                </c:pt>
                <c:pt idx="7">
                  <c:v>68.2</c:v>
                </c:pt>
                <c:pt idx="8">
                  <c:v>70.25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0-47AF-8361-A22C31DF2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0645840"/>
        <c:axId val="510646320"/>
      </c:barChart>
      <c:catAx>
        <c:axId val="51064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6320"/>
        <c:crosses val="autoZero"/>
        <c:auto val="1"/>
        <c:lblAlgn val="ctr"/>
        <c:lblOffset val="100"/>
        <c:noMultiLvlLbl val="0"/>
      </c:catAx>
      <c:valAx>
        <c:axId val="510646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064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Retail Market (Fuel Station) Nos.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Retail Market (Fuel Station) Nos.</a:t>
          </a:r>
        </a:p>
      </cx:txPr>
    </cx:title>
    <cx:plotArea>
      <cx:plotAreaRegion>
        <cx:series layoutId="funnel" uniqueId="{A3E22144-3FA5-41AE-9BDE-1BEAE5B7AA3E}">
          <cx:tx>
            <cx:txData>
              <cx:f>_xlchart.v2.1</cx:f>
              <cx:v>No. of Outlets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microsoft.com/office/2014/relationships/chartEx" Target="../charts/chartEx1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</xdr:row>
      <xdr:rowOff>163830</xdr:rowOff>
    </xdr:from>
    <xdr:to>
      <xdr:col>12</xdr:col>
      <xdr:colOff>365760</xdr:colOff>
      <xdr:row>14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D9A5F-23EE-C684-DA52-C59741E45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</xdr:colOff>
      <xdr:row>18</xdr:row>
      <xdr:rowOff>118110</xdr:rowOff>
    </xdr:from>
    <xdr:to>
      <xdr:col>9</xdr:col>
      <xdr:colOff>449580</xdr:colOff>
      <xdr:row>30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93FA13-D817-4C3B-C826-AB0E7B9C6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99060</xdr:colOff>
      <xdr:row>33</xdr:row>
      <xdr:rowOff>171450</xdr:rowOff>
    </xdr:from>
    <xdr:to>
      <xdr:col>9</xdr:col>
      <xdr:colOff>373380</xdr:colOff>
      <xdr:row>45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4CA0D7-255B-4E59-84E3-0FAE0FE74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11</xdr:row>
      <xdr:rowOff>175260</xdr:rowOff>
    </xdr:from>
    <xdr:to>
      <xdr:col>12</xdr:col>
      <xdr:colOff>403860</xdr:colOff>
      <xdr:row>23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8062B-1DF2-9127-2159-F1A1A9CF2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99060</xdr:colOff>
      <xdr:row>35</xdr:row>
      <xdr:rowOff>11430</xdr:rowOff>
    </xdr:from>
    <xdr:to>
      <xdr:col>12</xdr:col>
      <xdr:colOff>403860</xdr:colOff>
      <xdr:row>47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E9EF63-04DE-08F0-57EA-4C173E3F6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99060</xdr:colOff>
      <xdr:row>23</xdr:row>
      <xdr:rowOff>148590</xdr:rowOff>
    </xdr:from>
    <xdr:to>
      <xdr:col>12</xdr:col>
      <xdr:colOff>403860</xdr:colOff>
      <xdr:row>34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2D5436-8E7F-1475-EEDF-ADA156E4D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228600</xdr:colOff>
      <xdr:row>54</xdr:row>
      <xdr:rowOff>179070</xdr:rowOff>
    </xdr:from>
    <xdr:to>
      <xdr:col>12</xdr:col>
      <xdr:colOff>541020</xdr:colOff>
      <xdr:row>63</xdr:row>
      <xdr:rowOff>148590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B89C55-81FE-BCC0-E0DD-EBF442000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</xdr:colOff>
      <xdr:row>66</xdr:row>
      <xdr:rowOff>11430</xdr:rowOff>
    </xdr:from>
    <xdr:to>
      <xdr:col>13</xdr:col>
      <xdr:colOff>335280</xdr:colOff>
      <xdr:row>80</xdr:row>
      <xdr:rowOff>140970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CD77A1CC-2D5A-F5C0-F377-800B9220D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0860" y="16104870"/>
              <a:ext cx="4572000" cy="2872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731520</xdr:colOff>
      <xdr:row>3</xdr:row>
      <xdr:rowOff>121920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EDFBAE32-77C3-4558-9BFD-0F37BE622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15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7BCF-BAC3-4FA2-AF43-53E40E230AE4}">
  <dimension ref="A2:I64"/>
  <sheetViews>
    <sheetView tabSelected="1" workbookViewId="0">
      <selection activeCell="M58" sqref="M58"/>
    </sheetView>
  </sheetViews>
  <sheetFormatPr defaultRowHeight="14.4" x14ac:dyDescent="0.3"/>
  <cols>
    <col min="1" max="1" width="8.88671875" style="39"/>
    <col min="2" max="2" width="19.6640625" style="39" customWidth="1"/>
    <col min="3" max="3" width="11" style="39" bestFit="1" customWidth="1"/>
    <col min="4" max="4" width="22" style="39" customWidth="1"/>
    <col min="5" max="5" width="27.109375" style="39" customWidth="1"/>
    <col min="6" max="6" width="29.77734375" style="39" customWidth="1"/>
    <col min="7" max="16384" width="8.88671875" style="39"/>
  </cols>
  <sheetData>
    <row r="2" spans="1:5" x14ac:dyDescent="0.3">
      <c r="A2" s="39">
        <v>1</v>
      </c>
      <c r="B2" s="63" t="s">
        <v>77</v>
      </c>
    </row>
    <row r="3" spans="1:5" x14ac:dyDescent="0.3">
      <c r="B3" s="61" t="s">
        <v>69</v>
      </c>
      <c r="C3" s="61" t="s">
        <v>58</v>
      </c>
      <c r="D3" s="61" t="s">
        <v>63</v>
      </c>
      <c r="E3" s="61" t="s">
        <v>70</v>
      </c>
    </row>
    <row r="4" spans="1:5" x14ac:dyDescent="0.3">
      <c r="B4" s="64" t="s">
        <v>71</v>
      </c>
      <c r="C4" s="64" t="s">
        <v>72</v>
      </c>
      <c r="D4" s="62">
        <v>78</v>
      </c>
      <c r="E4" s="62">
        <v>225</v>
      </c>
    </row>
    <row r="5" spans="1:5" x14ac:dyDescent="0.3">
      <c r="B5" s="64" t="s">
        <v>67</v>
      </c>
      <c r="C5" s="64" t="s">
        <v>61</v>
      </c>
      <c r="D5" s="62">
        <v>160</v>
      </c>
      <c r="E5" s="62">
        <v>301</v>
      </c>
    </row>
    <row r="6" spans="1:5" x14ac:dyDescent="0.3">
      <c r="B6" s="64" t="s">
        <v>68</v>
      </c>
      <c r="C6" s="64" t="s">
        <v>66</v>
      </c>
      <c r="D6" s="62">
        <v>153</v>
      </c>
      <c r="E6" s="62">
        <v>368</v>
      </c>
    </row>
    <row r="7" spans="1:5" x14ac:dyDescent="0.3">
      <c r="B7" s="64" t="s">
        <v>65</v>
      </c>
      <c r="C7" s="64" t="s">
        <v>66</v>
      </c>
      <c r="D7" s="62">
        <v>158</v>
      </c>
      <c r="E7" s="62">
        <v>621</v>
      </c>
    </row>
    <row r="8" spans="1:5" x14ac:dyDescent="0.3">
      <c r="B8" s="64" t="s">
        <v>64</v>
      </c>
      <c r="C8" s="64" t="s">
        <v>59</v>
      </c>
      <c r="D8" s="62">
        <v>458</v>
      </c>
      <c r="E8" s="62">
        <v>1650</v>
      </c>
    </row>
    <row r="22" spans="1:5" x14ac:dyDescent="0.3">
      <c r="A22" s="39">
        <v>2</v>
      </c>
      <c r="B22" s="63" t="s">
        <v>76</v>
      </c>
    </row>
    <row r="24" spans="1:5" ht="28.8" x14ac:dyDescent="0.3">
      <c r="B24" s="61" t="s">
        <v>69</v>
      </c>
      <c r="C24" s="61" t="s">
        <v>58</v>
      </c>
      <c r="D24" s="61" t="s">
        <v>73</v>
      </c>
      <c r="E24" s="36"/>
    </row>
    <row r="25" spans="1:5" x14ac:dyDescent="0.3">
      <c r="B25" s="64" t="s">
        <v>75</v>
      </c>
      <c r="C25" s="64" t="s">
        <v>62</v>
      </c>
      <c r="D25" s="64">
        <v>135</v>
      </c>
      <c r="E25" s="65"/>
    </row>
    <row r="26" spans="1:5" x14ac:dyDescent="0.3">
      <c r="B26" s="64" t="s">
        <v>71</v>
      </c>
      <c r="C26" s="64" t="s">
        <v>72</v>
      </c>
      <c r="D26" s="64">
        <v>140</v>
      </c>
      <c r="E26" s="65"/>
    </row>
    <row r="27" spans="1:5" x14ac:dyDescent="0.3">
      <c r="B27" s="64" t="s">
        <v>65</v>
      </c>
      <c r="C27" s="64" t="s">
        <v>66</v>
      </c>
      <c r="D27" s="64">
        <v>185</v>
      </c>
      <c r="E27" s="65"/>
    </row>
    <row r="28" spans="1:5" x14ac:dyDescent="0.3">
      <c r="B28" s="64" t="s">
        <v>67</v>
      </c>
      <c r="C28" s="64" t="s">
        <v>61</v>
      </c>
      <c r="D28" s="64">
        <v>200</v>
      </c>
      <c r="E28" s="65"/>
    </row>
    <row r="29" spans="1:5" x14ac:dyDescent="0.3">
      <c r="B29" s="64" t="s">
        <v>64</v>
      </c>
      <c r="C29" s="64" t="s">
        <v>59</v>
      </c>
      <c r="D29" s="64">
        <v>210</v>
      </c>
      <c r="E29" s="65"/>
    </row>
    <row r="30" spans="1:5" x14ac:dyDescent="0.3">
      <c r="B30" s="64" t="s">
        <v>74</v>
      </c>
      <c r="C30" s="64" t="s">
        <v>61</v>
      </c>
      <c r="D30" s="64">
        <v>240</v>
      </c>
      <c r="E30" s="65"/>
    </row>
    <row r="35" spans="1:5" x14ac:dyDescent="0.3">
      <c r="A35" s="39">
        <v>3</v>
      </c>
      <c r="B35" s="63" t="s">
        <v>80</v>
      </c>
    </row>
    <row r="36" spans="1:5" x14ac:dyDescent="0.3">
      <c r="B36" s="61" t="s">
        <v>69</v>
      </c>
      <c r="C36" s="61" t="s">
        <v>58</v>
      </c>
      <c r="D36" s="61" t="s">
        <v>81</v>
      </c>
      <c r="E36" s="36"/>
    </row>
    <row r="37" spans="1:5" x14ac:dyDescent="0.3">
      <c r="B37" s="64" t="s">
        <v>78</v>
      </c>
      <c r="C37" s="64" t="s">
        <v>72</v>
      </c>
      <c r="D37" s="66">
        <v>21000</v>
      </c>
      <c r="E37" s="65"/>
    </row>
    <row r="38" spans="1:5" x14ac:dyDescent="0.3">
      <c r="B38" s="64" t="s">
        <v>67</v>
      </c>
      <c r="C38" s="64" t="s">
        <v>61</v>
      </c>
      <c r="D38" s="66">
        <v>22000</v>
      </c>
      <c r="E38" s="65"/>
    </row>
    <row r="39" spans="1:5" x14ac:dyDescent="0.3">
      <c r="B39" s="64" t="s">
        <v>74</v>
      </c>
      <c r="C39" s="64" t="s">
        <v>61</v>
      </c>
      <c r="D39" s="66">
        <v>30000</v>
      </c>
      <c r="E39" s="65"/>
    </row>
    <row r="40" spans="1:5" x14ac:dyDescent="0.3">
      <c r="B40" s="64" t="s">
        <v>79</v>
      </c>
      <c r="C40" s="64" t="s">
        <v>62</v>
      </c>
      <c r="D40" s="66">
        <v>36000</v>
      </c>
      <c r="E40" s="65"/>
    </row>
    <row r="41" spans="1:5" x14ac:dyDescent="0.3">
      <c r="B41" s="64" t="s">
        <v>71</v>
      </c>
      <c r="C41" s="64" t="s">
        <v>72</v>
      </c>
      <c r="D41" s="66">
        <v>47000</v>
      </c>
      <c r="E41" s="65"/>
    </row>
    <row r="52" spans="2:9" x14ac:dyDescent="0.3">
      <c r="B52" s="67" t="s">
        <v>165</v>
      </c>
    </row>
    <row r="54" spans="2:9" ht="28.8" x14ac:dyDescent="0.3">
      <c r="B54" s="61" t="s">
        <v>58</v>
      </c>
      <c r="C54" s="61" t="s">
        <v>166</v>
      </c>
      <c r="D54" s="61" t="s">
        <v>167</v>
      </c>
      <c r="E54" s="61" t="s">
        <v>168</v>
      </c>
      <c r="F54" s="61" t="s">
        <v>169</v>
      </c>
    </row>
    <row r="55" spans="2:9" ht="43.2" x14ac:dyDescent="0.3">
      <c r="B55" s="62" t="s">
        <v>89</v>
      </c>
      <c r="C55" s="64" t="s">
        <v>90</v>
      </c>
      <c r="D55" s="64" t="s">
        <v>170</v>
      </c>
      <c r="E55" s="64" t="s">
        <v>171</v>
      </c>
      <c r="F55" s="64" t="s">
        <v>109</v>
      </c>
      <c r="G55" s="65"/>
      <c r="I55" s="68"/>
    </row>
    <row r="56" spans="2:9" ht="57.6" x14ac:dyDescent="0.3">
      <c r="B56" s="64"/>
      <c r="C56" s="64" t="s">
        <v>91</v>
      </c>
      <c r="D56" s="64" t="s">
        <v>172</v>
      </c>
      <c r="E56" s="64" t="s">
        <v>173</v>
      </c>
      <c r="F56" s="64" t="s">
        <v>174</v>
      </c>
    </row>
    <row r="57" spans="2:9" ht="43.2" x14ac:dyDescent="0.3">
      <c r="B57" s="62" t="s">
        <v>61</v>
      </c>
      <c r="C57" s="64" t="s">
        <v>90</v>
      </c>
      <c r="D57" s="64" t="s">
        <v>175</v>
      </c>
      <c r="E57" s="64" t="s">
        <v>109</v>
      </c>
      <c r="F57" s="64" t="s">
        <v>109</v>
      </c>
    </row>
    <row r="58" spans="2:9" ht="43.2" x14ac:dyDescent="0.3">
      <c r="B58" s="64"/>
      <c r="C58" s="64" t="s">
        <v>91</v>
      </c>
      <c r="D58" s="64" t="s">
        <v>176</v>
      </c>
      <c r="E58" s="64" t="s">
        <v>177</v>
      </c>
      <c r="F58" s="64" t="s">
        <v>178</v>
      </c>
    </row>
    <row r="59" spans="2:9" ht="28.8" x14ac:dyDescent="0.3">
      <c r="B59" s="62" t="s">
        <v>59</v>
      </c>
      <c r="C59" s="64" t="s">
        <v>90</v>
      </c>
      <c r="D59" s="64" t="s">
        <v>179</v>
      </c>
      <c r="E59" s="64" t="s">
        <v>180</v>
      </c>
      <c r="F59" s="64" t="s">
        <v>109</v>
      </c>
    </row>
    <row r="60" spans="2:9" ht="28.8" x14ac:dyDescent="0.3">
      <c r="B60" s="64"/>
      <c r="C60" s="64" t="s">
        <v>91</v>
      </c>
      <c r="D60" s="64" t="s">
        <v>181</v>
      </c>
      <c r="E60" s="64" t="s">
        <v>182</v>
      </c>
      <c r="F60" s="64" t="s">
        <v>183</v>
      </c>
    </row>
    <row r="61" spans="2:9" ht="72" x14ac:dyDescent="0.3">
      <c r="B61" s="62" t="s">
        <v>60</v>
      </c>
      <c r="C61" s="64" t="s">
        <v>90</v>
      </c>
      <c r="D61" s="64" t="s">
        <v>184</v>
      </c>
      <c r="E61" s="64" t="s">
        <v>109</v>
      </c>
      <c r="F61" s="64" t="s">
        <v>109</v>
      </c>
    </row>
    <row r="62" spans="2:9" ht="43.2" x14ac:dyDescent="0.3">
      <c r="B62" s="64"/>
      <c r="C62" s="64" t="s">
        <v>91</v>
      </c>
      <c r="D62" s="64" t="s">
        <v>185</v>
      </c>
      <c r="E62" s="64" t="s">
        <v>109</v>
      </c>
      <c r="F62" s="64" t="s">
        <v>109</v>
      </c>
    </row>
    <row r="63" spans="2:9" ht="43.2" x14ac:dyDescent="0.3">
      <c r="B63" s="62" t="s">
        <v>62</v>
      </c>
      <c r="C63" s="64" t="s">
        <v>90</v>
      </c>
      <c r="D63" s="64" t="s">
        <v>186</v>
      </c>
      <c r="E63" s="64" t="s">
        <v>109</v>
      </c>
      <c r="F63" s="64" t="s">
        <v>109</v>
      </c>
    </row>
    <row r="64" spans="2:9" ht="72" x14ac:dyDescent="0.3">
      <c r="B64" s="64"/>
      <c r="C64" s="64" t="s">
        <v>91</v>
      </c>
      <c r="D64" s="64" t="s">
        <v>187</v>
      </c>
      <c r="E64" s="64" t="s">
        <v>188</v>
      </c>
      <c r="F64" s="64" t="s">
        <v>189</v>
      </c>
    </row>
  </sheetData>
  <autoFilter ref="D36:D41" xr:uid="{37357BCF-BAC3-4FA2-AF43-53E40E230AE4}">
    <sortState xmlns:xlrd2="http://schemas.microsoft.com/office/spreadsheetml/2017/richdata2" ref="A37:D41">
      <sortCondition ref="D36:D41"/>
    </sortState>
  </autoFilter>
  <sortState xmlns:xlrd2="http://schemas.microsoft.com/office/spreadsheetml/2017/richdata2" ref="B25:D30">
    <sortCondition ref="D25:D30"/>
  </sortState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14B3-D81A-4D30-9E38-606C57819D59}">
  <dimension ref="B2:F77"/>
  <sheetViews>
    <sheetView topLeftCell="A71" workbookViewId="0">
      <selection activeCell="Q71" sqref="Q71"/>
    </sheetView>
  </sheetViews>
  <sheetFormatPr defaultRowHeight="14.4" x14ac:dyDescent="0.3"/>
  <cols>
    <col min="1" max="1" width="8.88671875" style="39"/>
    <col min="2" max="2" width="28.77734375" style="39" bestFit="1" customWidth="1"/>
    <col min="3" max="3" width="31.88671875" style="39" bestFit="1" customWidth="1"/>
    <col min="4" max="4" width="12.5546875" style="39" customWidth="1"/>
    <col min="5" max="16384" width="8.88671875" style="39"/>
  </cols>
  <sheetData>
    <row r="2" spans="2:3" x14ac:dyDescent="0.3">
      <c r="B2" s="54" t="s">
        <v>190</v>
      </c>
    </row>
    <row r="4" spans="2:3" x14ac:dyDescent="0.3">
      <c r="B4" s="40" t="s">
        <v>69</v>
      </c>
      <c r="C4" s="40" t="s">
        <v>82</v>
      </c>
    </row>
    <row r="5" spans="2:3" x14ac:dyDescent="0.3">
      <c r="B5" s="40" t="s">
        <v>83</v>
      </c>
      <c r="C5" s="40">
        <v>70.56</v>
      </c>
    </row>
    <row r="6" spans="2:3" x14ac:dyDescent="0.3">
      <c r="B6" s="40" t="s">
        <v>84</v>
      </c>
      <c r="C6" s="40">
        <v>65.290000000000006</v>
      </c>
    </row>
    <row r="7" spans="2:3" x14ac:dyDescent="0.3">
      <c r="B7" s="40" t="s">
        <v>85</v>
      </c>
      <c r="C7" s="40">
        <v>34.979999999999997</v>
      </c>
    </row>
    <row r="8" spans="2:3" x14ac:dyDescent="0.3">
      <c r="B8" s="40" t="s">
        <v>86</v>
      </c>
      <c r="C8" s="40">
        <v>18.73</v>
      </c>
    </row>
    <row r="9" spans="2:3" x14ac:dyDescent="0.3">
      <c r="B9" s="40" t="s">
        <v>87</v>
      </c>
      <c r="C9" s="40">
        <v>19.07</v>
      </c>
    </row>
    <row r="10" spans="2:3" x14ac:dyDescent="0.3">
      <c r="B10" s="40" t="s">
        <v>88</v>
      </c>
      <c r="C10" s="40">
        <v>15.12</v>
      </c>
    </row>
    <row r="16" spans="2:3" x14ac:dyDescent="0.3">
      <c r="B16" s="53" t="s">
        <v>98</v>
      </c>
    </row>
    <row r="18" spans="2:5" ht="28.8" x14ac:dyDescent="0.3">
      <c r="B18" s="41" t="s">
        <v>92</v>
      </c>
      <c r="C18" s="42" t="s">
        <v>93</v>
      </c>
      <c r="D18" s="42" t="s">
        <v>94</v>
      </c>
      <c r="E18" s="43" t="s">
        <v>95</v>
      </c>
    </row>
    <row r="19" spans="2:5" x14ac:dyDescent="0.3">
      <c r="B19" s="44" t="s">
        <v>96</v>
      </c>
      <c r="C19" s="44" t="s">
        <v>100</v>
      </c>
      <c r="D19" s="44">
        <v>19.21</v>
      </c>
      <c r="E19" s="45">
        <v>0.65400000000000003</v>
      </c>
    </row>
    <row r="20" spans="2:5" x14ac:dyDescent="0.3">
      <c r="B20" s="44" t="s">
        <v>96</v>
      </c>
      <c r="C20" s="44" t="s">
        <v>101</v>
      </c>
      <c r="D20" s="44">
        <v>3.34</v>
      </c>
      <c r="E20" s="45">
        <v>0.114</v>
      </c>
    </row>
    <row r="21" spans="2:5" x14ac:dyDescent="0.3">
      <c r="B21" s="44" t="s">
        <v>97</v>
      </c>
      <c r="C21" s="44" t="s">
        <v>191</v>
      </c>
      <c r="D21" s="44">
        <v>6.1</v>
      </c>
      <c r="E21" s="45">
        <v>0.20799999999999999</v>
      </c>
    </row>
    <row r="22" spans="2:5" x14ac:dyDescent="0.3">
      <c r="B22" s="44" t="s">
        <v>97</v>
      </c>
      <c r="C22" s="44" t="s">
        <v>99</v>
      </c>
      <c r="D22" s="44">
        <v>0.71</v>
      </c>
      <c r="E22" s="45">
        <v>2.4E-2</v>
      </c>
    </row>
    <row r="26" spans="2:5" ht="28.8" x14ac:dyDescent="0.3">
      <c r="B26" s="52" t="s">
        <v>102</v>
      </c>
    </row>
    <row r="27" spans="2:5" ht="43.2" x14ac:dyDescent="0.3">
      <c r="B27" s="46" t="s">
        <v>69</v>
      </c>
      <c r="C27" s="46" t="s">
        <v>103</v>
      </c>
      <c r="D27" s="46" t="s">
        <v>104</v>
      </c>
      <c r="E27" s="47" t="s">
        <v>105</v>
      </c>
    </row>
    <row r="28" spans="2:5" x14ac:dyDescent="0.3">
      <c r="B28" s="48" t="s">
        <v>107</v>
      </c>
      <c r="C28" s="49">
        <v>1157</v>
      </c>
      <c r="D28" s="50">
        <v>9</v>
      </c>
      <c r="E28" s="51">
        <v>0.05</v>
      </c>
    </row>
    <row r="29" spans="2:5" x14ac:dyDescent="0.3">
      <c r="B29" s="48" t="s">
        <v>192</v>
      </c>
      <c r="C29" s="49">
        <v>1500</v>
      </c>
      <c r="D29" s="50">
        <v>18</v>
      </c>
      <c r="E29" s="51">
        <v>0.1</v>
      </c>
    </row>
    <row r="30" spans="2:5" x14ac:dyDescent="0.3">
      <c r="B30" s="48" t="s">
        <v>108</v>
      </c>
      <c r="C30" s="49">
        <v>6000</v>
      </c>
      <c r="D30" s="50">
        <v>25</v>
      </c>
      <c r="E30" s="51">
        <v>0.12</v>
      </c>
    </row>
    <row r="31" spans="2:5" x14ac:dyDescent="0.3">
      <c r="B31" s="48" t="s">
        <v>193</v>
      </c>
      <c r="C31" s="49">
        <v>14000</v>
      </c>
      <c r="D31" s="50" t="s">
        <v>109</v>
      </c>
      <c r="E31" s="51">
        <v>0.23</v>
      </c>
    </row>
    <row r="32" spans="2:5" x14ac:dyDescent="0.3">
      <c r="B32" s="48" t="s">
        <v>106</v>
      </c>
      <c r="C32" s="49">
        <v>17500</v>
      </c>
      <c r="D32" s="50">
        <v>119</v>
      </c>
      <c r="E32" s="51">
        <v>0.5</v>
      </c>
    </row>
    <row r="37" spans="2:5" ht="28.8" x14ac:dyDescent="0.3">
      <c r="B37" s="52" t="s">
        <v>110</v>
      </c>
    </row>
    <row r="38" spans="2:5" ht="28.8" x14ac:dyDescent="0.3">
      <c r="B38" s="46" t="s">
        <v>111</v>
      </c>
      <c r="C38" s="46" t="s">
        <v>112</v>
      </c>
      <c r="D38" s="46" t="s">
        <v>113</v>
      </c>
      <c r="E38" s="47" t="s">
        <v>95</v>
      </c>
    </row>
    <row r="39" spans="2:5" x14ac:dyDescent="0.3">
      <c r="B39" s="48" t="s">
        <v>114</v>
      </c>
      <c r="C39" s="50" t="s">
        <v>115</v>
      </c>
      <c r="D39" s="50">
        <v>1.33</v>
      </c>
      <c r="E39" s="55">
        <v>6.6000000000000003E-2</v>
      </c>
    </row>
    <row r="40" spans="2:5" x14ac:dyDescent="0.3">
      <c r="B40" s="48" t="s">
        <v>114</v>
      </c>
      <c r="C40" s="50" t="s">
        <v>116</v>
      </c>
      <c r="D40" s="50">
        <v>1.5</v>
      </c>
      <c r="E40" s="55">
        <v>7.4999999999999997E-2</v>
      </c>
    </row>
    <row r="41" spans="2:5" x14ac:dyDescent="0.3">
      <c r="B41" s="48" t="s">
        <v>114</v>
      </c>
      <c r="C41" s="50" t="s">
        <v>117</v>
      </c>
      <c r="D41" s="50">
        <v>2.5</v>
      </c>
      <c r="E41" s="55">
        <v>0.124</v>
      </c>
    </row>
    <row r="42" spans="2:5" x14ac:dyDescent="0.3">
      <c r="B42" s="48" t="s">
        <v>118</v>
      </c>
      <c r="C42" s="50" t="s">
        <v>119</v>
      </c>
      <c r="D42" s="50">
        <v>14.8</v>
      </c>
      <c r="E42" s="55">
        <v>0.73499999999999999</v>
      </c>
    </row>
    <row r="43" spans="2:5" x14ac:dyDescent="0.3">
      <c r="B43" s="48" t="s">
        <v>16</v>
      </c>
      <c r="C43" s="48" t="s">
        <v>120</v>
      </c>
      <c r="D43" s="48">
        <v>20.13</v>
      </c>
      <c r="E43" s="51">
        <v>1</v>
      </c>
    </row>
    <row r="53" spans="2:6" ht="28.8" x14ac:dyDescent="0.3">
      <c r="B53" s="52" t="s">
        <v>121</v>
      </c>
    </row>
    <row r="54" spans="2:6" ht="57.6" x14ac:dyDescent="0.3">
      <c r="B54" s="56" t="s">
        <v>194</v>
      </c>
    </row>
    <row r="56" spans="2:6" ht="43.2" x14ac:dyDescent="0.3">
      <c r="B56" s="42" t="s">
        <v>122</v>
      </c>
      <c r="C56" s="42" t="s">
        <v>123</v>
      </c>
      <c r="D56" s="42" t="s">
        <v>124</v>
      </c>
      <c r="E56" s="42" t="s">
        <v>105</v>
      </c>
      <c r="F56" s="43" t="s">
        <v>125</v>
      </c>
    </row>
    <row r="57" spans="2:6" ht="43.2" x14ac:dyDescent="0.3">
      <c r="B57" s="44" t="s">
        <v>150</v>
      </c>
      <c r="C57" s="57" t="s">
        <v>126</v>
      </c>
      <c r="D57" s="44">
        <v>3.06</v>
      </c>
      <c r="E57" s="44" t="s">
        <v>151</v>
      </c>
      <c r="F57" s="58" t="s">
        <v>152</v>
      </c>
    </row>
    <row r="58" spans="2:6" x14ac:dyDescent="0.3">
      <c r="B58" s="44" t="s">
        <v>146</v>
      </c>
      <c r="C58" s="57" t="s">
        <v>147</v>
      </c>
      <c r="D58" s="44">
        <v>10.5</v>
      </c>
      <c r="E58" s="44" t="s">
        <v>148</v>
      </c>
      <c r="F58" s="58" t="s">
        <v>149</v>
      </c>
    </row>
    <row r="59" spans="2:6" x14ac:dyDescent="0.3">
      <c r="B59" s="44" t="s">
        <v>142</v>
      </c>
      <c r="C59" s="57" t="s">
        <v>143</v>
      </c>
      <c r="D59" s="44">
        <v>11.3</v>
      </c>
      <c r="E59" s="44" t="s">
        <v>144</v>
      </c>
      <c r="F59" s="58" t="s">
        <v>145</v>
      </c>
    </row>
    <row r="60" spans="2:6" ht="28.8" x14ac:dyDescent="0.3">
      <c r="B60" s="44" t="s">
        <v>140</v>
      </c>
      <c r="C60" s="57" t="s">
        <v>126</v>
      </c>
      <c r="D60" s="44">
        <v>15</v>
      </c>
      <c r="E60" s="44" t="s">
        <v>141</v>
      </c>
      <c r="F60" s="58" t="s">
        <v>116</v>
      </c>
    </row>
    <row r="61" spans="2:6" x14ac:dyDescent="0.3">
      <c r="B61" s="44" t="s">
        <v>137</v>
      </c>
      <c r="C61" s="57" t="s">
        <v>129</v>
      </c>
      <c r="D61" s="44">
        <v>20</v>
      </c>
      <c r="E61" s="44" t="s">
        <v>138</v>
      </c>
      <c r="F61" s="58" t="s">
        <v>139</v>
      </c>
    </row>
    <row r="62" spans="2:6" ht="28.8" x14ac:dyDescent="0.3">
      <c r="B62" s="44" t="s">
        <v>164</v>
      </c>
      <c r="C62" s="57" t="s">
        <v>126</v>
      </c>
      <c r="D62" s="44">
        <v>24.5</v>
      </c>
      <c r="E62" s="44" t="s">
        <v>135</v>
      </c>
      <c r="F62" s="58" t="s">
        <v>136</v>
      </c>
    </row>
    <row r="63" spans="2:6" ht="43.2" x14ac:dyDescent="0.3">
      <c r="B63" s="44" t="s">
        <v>163</v>
      </c>
      <c r="C63" s="57" t="s">
        <v>126</v>
      </c>
      <c r="D63" s="44">
        <v>35.299999999999997</v>
      </c>
      <c r="E63" s="44" t="s">
        <v>133</v>
      </c>
      <c r="F63" s="58" t="s">
        <v>134</v>
      </c>
    </row>
    <row r="64" spans="2:6" ht="43.2" x14ac:dyDescent="0.3">
      <c r="B64" s="44" t="s">
        <v>75</v>
      </c>
      <c r="C64" s="57" t="s">
        <v>129</v>
      </c>
      <c r="D64" s="44">
        <v>68.2</v>
      </c>
      <c r="E64" s="44" t="s">
        <v>130</v>
      </c>
      <c r="F64" s="58" t="s">
        <v>131</v>
      </c>
    </row>
    <row r="65" spans="2:6" ht="43.2" x14ac:dyDescent="0.3">
      <c r="B65" s="44" t="s">
        <v>106</v>
      </c>
      <c r="C65" s="57" t="s">
        <v>126</v>
      </c>
      <c r="D65" s="44">
        <v>70.25</v>
      </c>
      <c r="E65" s="44" t="s">
        <v>127</v>
      </c>
      <c r="F65" s="58" t="s">
        <v>128</v>
      </c>
    </row>
    <row r="69" spans="2:6" x14ac:dyDescent="0.3">
      <c r="B69" s="53" t="s">
        <v>162</v>
      </c>
    </row>
    <row r="71" spans="2:6" ht="28.8" x14ac:dyDescent="0.3">
      <c r="B71" s="42" t="s">
        <v>122</v>
      </c>
      <c r="C71" s="42" t="s">
        <v>153</v>
      </c>
      <c r="D71" s="42" t="s">
        <v>154</v>
      </c>
      <c r="E71" s="43" t="s">
        <v>95</v>
      </c>
    </row>
    <row r="72" spans="2:6" x14ac:dyDescent="0.3">
      <c r="B72" s="44" t="s">
        <v>106</v>
      </c>
      <c r="C72" s="57" t="s">
        <v>155</v>
      </c>
      <c r="D72" s="59">
        <v>41664</v>
      </c>
      <c r="E72" s="60">
        <v>0.41599999999999998</v>
      </c>
    </row>
    <row r="73" spans="2:6" x14ac:dyDescent="0.3">
      <c r="B73" s="44" t="s">
        <v>132</v>
      </c>
      <c r="C73" s="57" t="s">
        <v>156</v>
      </c>
      <c r="D73" s="59">
        <v>24605</v>
      </c>
      <c r="E73" s="60">
        <v>0.245</v>
      </c>
    </row>
    <row r="74" spans="2:6" x14ac:dyDescent="0.3">
      <c r="B74" s="44" t="s">
        <v>87</v>
      </c>
      <c r="C74" s="57" t="s">
        <v>157</v>
      </c>
      <c r="D74" s="59">
        <v>24418</v>
      </c>
      <c r="E74" s="60">
        <v>0.24399999999999999</v>
      </c>
    </row>
    <row r="75" spans="2:6" x14ac:dyDescent="0.3">
      <c r="B75" s="44" t="s">
        <v>137</v>
      </c>
      <c r="C75" s="57" t="s">
        <v>158</v>
      </c>
      <c r="D75" s="59">
        <v>6921</v>
      </c>
      <c r="E75" s="60">
        <v>6.9000000000000006E-2</v>
      </c>
    </row>
    <row r="76" spans="2:6" x14ac:dyDescent="0.3">
      <c r="B76" s="44" t="s">
        <v>159</v>
      </c>
      <c r="C76" s="57" t="s">
        <v>160</v>
      </c>
      <c r="D76" s="59">
        <v>2114</v>
      </c>
      <c r="E76" s="60">
        <v>2.1000000000000001E-2</v>
      </c>
    </row>
    <row r="77" spans="2:6" x14ac:dyDescent="0.3">
      <c r="B77" s="44" t="s">
        <v>161</v>
      </c>
      <c r="C77" s="57" t="s">
        <v>71</v>
      </c>
      <c r="D77" s="44">
        <v>544</v>
      </c>
      <c r="E77" s="60">
        <v>5.0000000000000001E-3</v>
      </c>
    </row>
  </sheetData>
  <autoFilter ref="D56:D65" xr:uid="{D00E14B3-D81A-4D30-9E38-606C57819D59}">
    <sortState xmlns:xlrd2="http://schemas.microsoft.com/office/spreadsheetml/2017/richdata2" ref="B57:F65">
      <sortCondition ref="D56:D6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D4FA-5D41-49AB-94B8-C1D1E4BD782D}">
  <sheetPr codeName="Sheet1">
    <pageSetUpPr fitToPage="1"/>
  </sheetPr>
  <dimension ref="A2:N51"/>
  <sheetViews>
    <sheetView topLeftCell="A3" zoomScale="85" zoomScaleNormal="85" workbookViewId="0">
      <selection activeCell="N29" activeCellId="4" sqref="N11 N13 N15 N27 N29"/>
    </sheetView>
  </sheetViews>
  <sheetFormatPr defaultRowHeight="14.4" x14ac:dyDescent="0.3"/>
  <cols>
    <col min="1" max="1" width="32.44140625" customWidth="1"/>
    <col min="2" max="10" width="17.5546875" customWidth="1"/>
    <col min="11" max="11" width="14.109375" bestFit="1" customWidth="1"/>
    <col min="12" max="12" width="17.5546875" customWidth="1"/>
    <col min="13" max="13" width="14.109375" customWidth="1"/>
    <col min="14" max="14" width="17.5546875" customWidth="1"/>
  </cols>
  <sheetData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0.399999999999999" x14ac:dyDescent="0.35">
      <c r="A4" s="2"/>
      <c r="B4" s="1"/>
      <c r="C4" s="1"/>
      <c r="D4" s="1"/>
      <c r="E4" s="3" t="s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ht="17.399999999999999" x14ac:dyDescent="0.3">
      <c r="A5" s="2"/>
      <c r="B5" s="1"/>
      <c r="C5" s="1"/>
      <c r="D5" s="1"/>
      <c r="E5" s="4"/>
      <c r="F5" s="1"/>
      <c r="G5" s="1"/>
      <c r="H5" s="1"/>
      <c r="I5" s="1"/>
      <c r="J5" s="1"/>
      <c r="K5" s="1"/>
      <c r="L5" s="1"/>
      <c r="M5" s="1"/>
      <c r="N5" s="1"/>
    </row>
    <row r="6" spans="1:14" ht="18" x14ac:dyDescent="0.35">
      <c r="A6" s="5" t="s">
        <v>52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37" t="s">
        <v>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17.399999999999999" x14ac:dyDescent="0.3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7.399999999999999" x14ac:dyDescent="0.3">
      <c r="A9" s="8" t="s">
        <v>3</v>
      </c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9" t="s">
        <v>9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</row>
    <row r="10" spans="1:14" ht="15.6" x14ac:dyDescent="0.3">
      <c r="A10" s="10" t="s">
        <v>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.6" x14ac:dyDescent="0.3">
      <c r="A11" s="12" t="s">
        <v>18</v>
      </c>
      <c r="B11" s="13">
        <v>20985.627082782001</v>
      </c>
      <c r="C11" s="13">
        <v>21328.553933962001</v>
      </c>
      <c r="D11" s="13">
        <v>20314.346382346997</v>
      </c>
      <c r="E11" s="13">
        <v>18888.643173999997</v>
      </c>
      <c r="F11" s="13">
        <v>19603.420696721005</v>
      </c>
      <c r="G11" s="13">
        <v>20207.811892496</v>
      </c>
      <c r="H11" s="13">
        <v>21005.459758834004</v>
      </c>
      <c r="I11" s="13">
        <v>21235.636254446003</v>
      </c>
      <c r="J11" s="13">
        <v>21585.402617463002</v>
      </c>
      <c r="K11" s="13"/>
      <c r="L11" s="13"/>
      <c r="M11" s="13"/>
      <c r="N11" s="14">
        <v>185154.90179305099</v>
      </c>
    </row>
    <row r="12" spans="1:14" ht="15.6" x14ac:dyDescent="0.3">
      <c r="A12" s="12" t="s">
        <v>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4" x14ac:dyDescent="0.3">
      <c r="A13" s="13" t="s">
        <v>20</v>
      </c>
      <c r="B13" s="13">
        <v>1605.943786</v>
      </c>
      <c r="C13" s="13">
        <v>1685.0908040000002</v>
      </c>
      <c r="D13" s="13">
        <v>1887.6876690000001</v>
      </c>
      <c r="E13" s="13">
        <v>1900.1774010000001</v>
      </c>
      <c r="F13" s="13">
        <v>1932.0590639999998</v>
      </c>
      <c r="G13" s="13">
        <v>1849.0007780000001</v>
      </c>
      <c r="H13" s="13">
        <v>1916.7470330000003</v>
      </c>
      <c r="I13" s="13">
        <v>1836.9406230833335</v>
      </c>
      <c r="J13" s="13">
        <v>2010.8531090833333</v>
      </c>
      <c r="K13" s="13"/>
      <c r="L13" s="13"/>
      <c r="M13" s="13"/>
      <c r="N13" s="14">
        <v>16624.500267166666</v>
      </c>
    </row>
    <row r="14" spans="1:14" x14ac:dyDescent="0.3">
      <c r="A14" s="15" t="s">
        <v>21</v>
      </c>
      <c r="B14" s="13">
        <v>2.4380000000000001E-3</v>
      </c>
      <c r="C14" s="13">
        <v>0</v>
      </c>
      <c r="D14" s="13">
        <v>0</v>
      </c>
      <c r="E14" s="13">
        <v>0</v>
      </c>
      <c r="F14" s="13">
        <v>0</v>
      </c>
      <c r="G14" s="13">
        <v>6.9540000000000001E-3</v>
      </c>
      <c r="H14" s="13">
        <v>0</v>
      </c>
      <c r="I14" s="13">
        <v>8.9691666666666663E-4</v>
      </c>
      <c r="J14" s="13">
        <v>8.9691666666666663E-4</v>
      </c>
      <c r="K14" s="13"/>
      <c r="L14" s="13"/>
      <c r="M14" s="13"/>
      <c r="N14" s="14">
        <v>1.1185833333333336E-2</v>
      </c>
    </row>
    <row r="15" spans="1:14" x14ac:dyDescent="0.3">
      <c r="A15" s="13" t="s">
        <v>22</v>
      </c>
      <c r="B15" s="13">
        <v>203.47645100000003</v>
      </c>
      <c r="C15" s="13">
        <v>118.521996</v>
      </c>
      <c r="D15" s="13">
        <v>33.470770999999999</v>
      </c>
      <c r="E15" s="13">
        <v>60.609290000000001</v>
      </c>
      <c r="F15" s="13">
        <v>41.485908999999999</v>
      </c>
      <c r="G15" s="13">
        <v>108.62316399999999</v>
      </c>
      <c r="H15" s="13">
        <v>113.554079</v>
      </c>
      <c r="I15" s="13">
        <v>112.50740483333333</v>
      </c>
      <c r="J15" s="13">
        <v>31.982228833333338</v>
      </c>
      <c r="K15" s="13"/>
      <c r="L15" s="13"/>
      <c r="M15" s="13"/>
      <c r="N15" s="14">
        <v>824.23129366666672</v>
      </c>
    </row>
    <row r="16" spans="1:14" x14ac:dyDescent="0.3">
      <c r="A16" s="13" t="s">
        <v>23</v>
      </c>
      <c r="B16" s="13">
        <v>0</v>
      </c>
      <c r="C16" s="13">
        <v>3.0000000000000001E-6</v>
      </c>
      <c r="D16" s="13">
        <v>1.3200000000000001E-4</v>
      </c>
      <c r="E16" s="13">
        <v>0</v>
      </c>
      <c r="F16" s="13">
        <v>0</v>
      </c>
      <c r="G16" s="13">
        <v>0</v>
      </c>
      <c r="H16" s="13">
        <v>0</v>
      </c>
      <c r="I16" s="13">
        <v>1.1250000000000001E-5</v>
      </c>
      <c r="J16" s="13">
        <v>1.1250000000000001E-5</v>
      </c>
      <c r="K16" s="13"/>
      <c r="L16" s="13"/>
      <c r="M16" s="13"/>
      <c r="N16" s="14">
        <v>1.5750000000000001E-4</v>
      </c>
    </row>
    <row r="17" spans="1:14" x14ac:dyDescent="0.3">
      <c r="A17" s="15" t="s">
        <v>24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/>
      <c r="L17" s="13"/>
      <c r="M17" s="13"/>
      <c r="N17" s="14">
        <v>0</v>
      </c>
    </row>
    <row r="18" spans="1:14" x14ac:dyDescent="0.3">
      <c r="A18" s="13" t="s">
        <v>25</v>
      </c>
      <c r="B18" s="13">
        <v>1.1464799999999999</v>
      </c>
      <c r="C18" s="13">
        <v>2.1620699999999999</v>
      </c>
      <c r="D18" s="13">
        <v>2.1685750000000001</v>
      </c>
      <c r="E18" s="13">
        <v>0.66467999999999994</v>
      </c>
      <c r="F18" s="13">
        <v>3.5820639999999999</v>
      </c>
      <c r="G18" s="13">
        <v>1.653149</v>
      </c>
      <c r="H18" s="13">
        <v>4.2634850000000002</v>
      </c>
      <c r="I18" s="13">
        <v>2.8088847500000007</v>
      </c>
      <c r="J18" s="13">
        <v>2.8088847500000007</v>
      </c>
      <c r="K18" s="13"/>
      <c r="L18" s="13"/>
      <c r="M18" s="13"/>
      <c r="N18" s="14">
        <v>21.2582725</v>
      </c>
    </row>
    <row r="19" spans="1:14" x14ac:dyDescent="0.3">
      <c r="A19" s="13" t="s">
        <v>26</v>
      </c>
      <c r="B19" s="13">
        <v>296.12271500000003</v>
      </c>
      <c r="C19" s="13">
        <v>242.51261199999999</v>
      </c>
      <c r="D19" s="13">
        <v>259.12600300000003</v>
      </c>
      <c r="E19" s="13">
        <v>261.33680700000002</v>
      </c>
      <c r="F19" s="13">
        <v>242.91258899999997</v>
      </c>
      <c r="G19" s="13">
        <v>297.55432200000007</v>
      </c>
      <c r="H19" s="13">
        <v>288.40277700000001</v>
      </c>
      <c r="I19" s="13">
        <v>237.88878749999998</v>
      </c>
      <c r="J19" s="13">
        <v>264.96244649999994</v>
      </c>
      <c r="K19" s="13"/>
      <c r="L19" s="13"/>
      <c r="M19" s="13"/>
      <c r="N19" s="14">
        <v>2390.8190589999995</v>
      </c>
    </row>
    <row r="20" spans="1:14" x14ac:dyDescent="0.3">
      <c r="A20" s="13" t="s">
        <v>27</v>
      </c>
      <c r="B20" s="13">
        <v>296.90105500000004</v>
      </c>
      <c r="C20" s="13">
        <v>505.48975800000005</v>
      </c>
      <c r="D20" s="13">
        <v>536.39672299999995</v>
      </c>
      <c r="E20" s="13">
        <v>525.46365400000002</v>
      </c>
      <c r="F20" s="13">
        <v>364.62041999999997</v>
      </c>
      <c r="G20" s="13">
        <v>693.97875399999987</v>
      </c>
      <c r="H20" s="13">
        <v>622.21612900000014</v>
      </c>
      <c r="I20" s="13">
        <v>483.96830066666672</v>
      </c>
      <c r="J20" s="13">
        <v>183.14472466666666</v>
      </c>
      <c r="K20" s="13"/>
      <c r="L20" s="13"/>
      <c r="M20" s="13"/>
      <c r="N20" s="14">
        <v>4212.1795183333343</v>
      </c>
    </row>
    <row r="21" spans="1:14" x14ac:dyDescent="0.3">
      <c r="A21" s="13" t="s">
        <v>28</v>
      </c>
      <c r="B21" s="13">
        <v>297.29825099999999</v>
      </c>
      <c r="C21" s="13">
        <v>289.941327</v>
      </c>
      <c r="D21" s="13">
        <v>248.94314599999998</v>
      </c>
      <c r="E21" s="13">
        <v>198.84168</v>
      </c>
      <c r="F21" s="13">
        <v>186.51687099999998</v>
      </c>
      <c r="G21" s="13">
        <v>193.542359</v>
      </c>
      <c r="H21" s="13">
        <v>194.144024</v>
      </c>
      <c r="I21" s="13">
        <v>244.73514508333332</v>
      </c>
      <c r="J21" s="13">
        <v>255.61079508333333</v>
      </c>
      <c r="K21" s="13"/>
      <c r="L21" s="13"/>
      <c r="M21" s="13"/>
      <c r="N21" s="14">
        <v>2109.5735981666662</v>
      </c>
    </row>
    <row r="22" spans="1:14" x14ac:dyDescent="0.3">
      <c r="A22" s="13" t="s">
        <v>29</v>
      </c>
      <c r="B22" s="13">
        <v>955.63193000000001</v>
      </c>
      <c r="C22" s="13">
        <v>1073.2790819999998</v>
      </c>
      <c r="D22" s="13">
        <v>773.016031</v>
      </c>
      <c r="E22" s="13">
        <v>1013.471391</v>
      </c>
      <c r="F22" s="13">
        <v>1602.5805370000003</v>
      </c>
      <c r="G22" s="13">
        <v>949.48104599999999</v>
      </c>
      <c r="H22" s="13">
        <v>905.73393199999998</v>
      </c>
      <c r="I22" s="13">
        <v>1078.8077283333334</v>
      </c>
      <c r="J22" s="13">
        <v>1078.8077283333334</v>
      </c>
      <c r="K22" s="13"/>
      <c r="L22" s="13"/>
      <c r="M22" s="13"/>
      <c r="N22" s="14">
        <v>9430.8094056666669</v>
      </c>
    </row>
    <row r="23" spans="1:14" x14ac:dyDescent="0.3">
      <c r="A23" s="13" t="s">
        <v>30</v>
      </c>
      <c r="B23" s="13">
        <v>272.74712300000004</v>
      </c>
      <c r="C23" s="13">
        <v>273.65828300000004</v>
      </c>
      <c r="D23" s="13">
        <v>321.73980199999994</v>
      </c>
      <c r="E23" s="13">
        <v>302.588098</v>
      </c>
      <c r="F23" s="13">
        <v>158.30841999999998</v>
      </c>
      <c r="G23" s="13">
        <v>254.10196400000001</v>
      </c>
      <c r="H23" s="13">
        <v>81.901348999999996</v>
      </c>
      <c r="I23" s="13">
        <v>219.45512666666667</v>
      </c>
      <c r="J23" s="13">
        <v>166.5751946666667</v>
      </c>
      <c r="K23" s="13"/>
      <c r="L23" s="13"/>
      <c r="M23" s="13"/>
      <c r="N23" s="14">
        <v>2051.0753603333337</v>
      </c>
    </row>
    <row r="24" spans="1:14" ht="15.6" x14ac:dyDescent="0.3">
      <c r="A24" s="16" t="s">
        <v>31</v>
      </c>
      <c r="B24" s="17">
        <v>3929.2702290000002</v>
      </c>
      <c r="C24" s="17">
        <v>4190.6559349999998</v>
      </c>
      <c r="D24" s="17">
        <v>4062.5488519999999</v>
      </c>
      <c r="E24" s="17">
        <v>4263.1530010000006</v>
      </c>
      <c r="F24" s="17">
        <v>4532.0658740000008</v>
      </c>
      <c r="G24" s="17">
        <v>4347.9424900000004</v>
      </c>
      <c r="H24" s="17">
        <v>4126.9628080000002</v>
      </c>
      <c r="I24" s="17">
        <v>4217.1129090833338</v>
      </c>
      <c r="J24" s="17">
        <v>3994.7460200833339</v>
      </c>
      <c r="K24" s="17">
        <v>0</v>
      </c>
      <c r="L24" s="17">
        <v>0</v>
      </c>
      <c r="M24" s="17">
        <v>0</v>
      </c>
      <c r="N24" s="17">
        <v>37664.458118166665</v>
      </c>
    </row>
    <row r="25" spans="1:14" ht="15.6" x14ac:dyDescent="0.3">
      <c r="A25" s="18" t="s">
        <v>32</v>
      </c>
      <c r="B25" s="17">
        <v>24914.897311782002</v>
      </c>
      <c r="C25" s="17">
        <v>25519.209868962</v>
      </c>
      <c r="D25" s="17">
        <v>24376.895234346997</v>
      </c>
      <c r="E25" s="17">
        <v>23151.796174999996</v>
      </c>
      <c r="F25" s="17">
        <v>24135.486570721005</v>
      </c>
      <c r="G25" s="17">
        <v>24555.754382496001</v>
      </c>
      <c r="H25" s="17">
        <v>25132.422566834004</v>
      </c>
      <c r="I25" s="17">
        <v>25452.749163529337</v>
      </c>
      <c r="J25" s="17">
        <v>25580.148637546336</v>
      </c>
      <c r="K25" s="17">
        <v>0</v>
      </c>
      <c r="L25" s="17">
        <v>0</v>
      </c>
      <c r="M25" s="17">
        <v>0</v>
      </c>
      <c r="N25" s="17">
        <v>222819.35991121765</v>
      </c>
    </row>
    <row r="26" spans="1:14" ht="15.6" x14ac:dyDescent="0.3">
      <c r="A26" s="19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20" t="s">
        <v>20</v>
      </c>
      <c r="B27" s="13">
        <v>46.277700000000003</v>
      </c>
      <c r="C27" s="13">
        <v>52.016489999999997</v>
      </c>
      <c r="D27" s="13">
        <v>46.723990000000001</v>
      </c>
      <c r="E27" s="13">
        <v>46.596419999999995</v>
      </c>
      <c r="F27" s="13">
        <v>43.402950000000004</v>
      </c>
      <c r="G27" s="13">
        <v>48.186970000000002</v>
      </c>
      <c r="H27" s="13">
        <v>42.540849999999992</v>
      </c>
      <c r="I27" s="13">
        <v>48.020659999999999</v>
      </c>
      <c r="J27" s="13">
        <v>49.394370000000002</v>
      </c>
      <c r="K27" s="13"/>
      <c r="L27" s="13"/>
      <c r="M27" s="13"/>
      <c r="N27" s="14">
        <v>423.16039999999998</v>
      </c>
    </row>
    <row r="28" spans="1:14" x14ac:dyDescent="0.3">
      <c r="A28" s="21" t="s">
        <v>34</v>
      </c>
      <c r="B28" s="13">
        <v>1222.2663347710002</v>
      </c>
      <c r="C28" s="13">
        <v>1452.4913891349997</v>
      </c>
      <c r="D28" s="13">
        <v>1269.6830790371</v>
      </c>
      <c r="E28" s="13">
        <v>1197.0777237019001</v>
      </c>
      <c r="F28" s="13">
        <v>1524.6607873221001</v>
      </c>
      <c r="G28" s="13">
        <v>1569.3631279496321</v>
      </c>
      <c r="H28" s="13">
        <v>1372.4572489767554</v>
      </c>
      <c r="I28" s="13">
        <v>1523.7315734355791</v>
      </c>
      <c r="J28" s="13">
        <v>1550.2355936368815</v>
      </c>
      <c r="K28" s="13"/>
      <c r="L28" s="13"/>
      <c r="M28" s="13"/>
      <c r="N28" s="14">
        <v>12681.96685796595</v>
      </c>
    </row>
    <row r="29" spans="1:14" x14ac:dyDescent="0.3">
      <c r="A29" s="20" t="s">
        <v>35</v>
      </c>
      <c r="B29" s="13">
        <v>574.66821099999993</v>
      </c>
      <c r="C29" s="13">
        <v>718.27719300000001</v>
      </c>
      <c r="D29" s="13">
        <v>676.16728999999998</v>
      </c>
      <c r="E29" s="13">
        <v>603.64513600000009</v>
      </c>
      <c r="F29" s="13">
        <v>581.58157500000004</v>
      </c>
      <c r="G29" s="13">
        <v>447.60766599999999</v>
      </c>
      <c r="H29" s="13">
        <v>281.49147300000004</v>
      </c>
      <c r="I29" s="13">
        <v>506.78191299999997</v>
      </c>
      <c r="J29" s="13">
        <v>385.49239599999999</v>
      </c>
      <c r="K29" s="13"/>
      <c r="L29" s="13"/>
      <c r="M29" s="13"/>
      <c r="N29" s="14">
        <v>4775.712853</v>
      </c>
    </row>
    <row r="30" spans="1:14" x14ac:dyDescent="0.3">
      <c r="A30" s="20" t="s">
        <v>36</v>
      </c>
      <c r="B30" s="13">
        <v>486.71798999999999</v>
      </c>
      <c r="C30" s="13">
        <v>752.08097599999996</v>
      </c>
      <c r="D30" s="13">
        <v>675.27333799999997</v>
      </c>
      <c r="E30" s="13">
        <v>645.2912960000001</v>
      </c>
      <c r="F30" s="13">
        <v>556.08908999999994</v>
      </c>
      <c r="G30" s="13">
        <v>688.67050200000006</v>
      </c>
      <c r="H30" s="13">
        <v>506.06928600000003</v>
      </c>
      <c r="I30" s="13">
        <v>598.83348999999998</v>
      </c>
      <c r="J30" s="13">
        <v>628.64545800000008</v>
      </c>
      <c r="K30" s="13"/>
      <c r="L30" s="13"/>
      <c r="M30" s="13"/>
      <c r="N30" s="14">
        <v>5537.6714259999999</v>
      </c>
    </row>
    <row r="31" spans="1:14" x14ac:dyDescent="0.3">
      <c r="A31" s="15" t="s">
        <v>24</v>
      </c>
      <c r="B31" s="13">
        <v>1.8893899999999999</v>
      </c>
      <c r="C31" s="13">
        <v>1.5882500000000002</v>
      </c>
      <c r="D31" s="13">
        <v>1.6694000000000002</v>
      </c>
      <c r="E31" s="13">
        <v>1.5793699999999999</v>
      </c>
      <c r="F31" s="13">
        <v>1.19</v>
      </c>
      <c r="G31" s="13">
        <v>1.28</v>
      </c>
      <c r="H31" s="13">
        <v>1.44</v>
      </c>
      <c r="I31" s="13">
        <v>1.18</v>
      </c>
      <c r="J31" s="13">
        <v>1.1400000000000001</v>
      </c>
      <c r="K31" s="13"/>
      <c r="L31" s="13"/>
      <c r="M31" s="13"/>
      <c r="N31" s="14">
        <v>12.95641</v>
      </c>
    </row>
    <row r="32" spans="1:14" x14ac:dyDescent="0.3">
      <c r="A32" s="13" t="s">
        <v>25</v>
      </c>
      <c r="B32" s="13">
        <v>1295.7161165110001</v>
      </c>
      <c r="C32" s="13">
        <v>2347.9823904289997</v>
      </c>
      <c r="D32" s="13">
        <v>2245.1757438802997</v>
      </c>
      <c r="E32" s="13">
        <v>2242.2423652563998</v>
      </c>
      <c r="F32" s="13">
        <v>2583.3636990089999</v>
      </c>
      <c r="G32" s="13">
        <v>3105.0890858282232</v>
      </c>
      <c r="H32" s="13">
        <v>2706.9435796946614</v>
      </c>
      <c r="I32" s="13">
        <v>2314.0173177036031</v>
      </c>
      <c r="J32" s="13">
        <v>2340.507512187603</v>
      </c>
      <c r="K32" s="13"/>
      <c r="L32" s="13"/>
      <c r="M32" s="13"/>
      <c r="N32" s="14">
        <v>21181.037810499791</v>
      </c>
    </row>
    <row r="33" spans="1:14" x14ac:dyDescent="0.3">
      <c r="A33" s="13" t="s">
        <v>37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/>
      <c r="L33" s="13"/>
      <c r="M33" s="13"/>
      <c r="N33" s="14">
        <v>0</v>
      </c>
    </row>
    <row r="34" spans="1:14" x14ac:dyDescent="0.3">
      <c r="A34" s="13" t="s">
        <v>38</v>
      </c>
      <c r="B34" s="13">
        <v>0.28589338999999997</v>
      </c>
      <c r="C34" s="13">
        <v>0.42574869599999998</v>
      </c>
      <c r="D34" s="13">
        <v>0.68968620089999988</v>
      </c>
      <c r="E34" s="13">
        <v>1.1582943998999999</v>
      </c>
      <c r="F34" s="13">
        <v>0.72838832049999991</v>
      </c>
      <c r="G34" s="13">
        <v>0.84717961422262134</v>
      </c>
      <c r="H34" s="13">
        <v>0.68898224741292635</v>
      </c>
      <c r="I34" s="13">
        <v>1.051570774154398</v>
      </c>
      <c r="J34" s="13">
        <v>0.87892675793716335</v>
      </c>
      <c r="K34" s="13"/>
      <c r="L34" s="13"/>
      <c r="M34" s="13"/>
      <c r="N34" s="14">
        <v>6.7546704010271101</v>
      </c>
    </row>
    <row r="35" spans="1:14" x14ac:dyDescent="0.3">
      <c r="A35" s="13" t="s">
        <v>27</v>
      </c>
      <c r="B35" s="13">
        <v>135.747851</v>
      </c>
      <c r="C35" s="13">
        <v>172.06896599999999</v>
      </c>
      <c r="D35" s="13">
        <v>262.39109399999995</v>
      </c>
      <c r="E35" s="13">
        <v>174.15371400000001</v>
      </c>
      <c r="F35" s="13">
        <v>225.93646099999998</v>
      </c>
      <c r="G35" s="13">
        <v>196.58488899999998</v>
      </c>
      <c r="H35" s="13">
        <v>70.555827999999991</v>
      </c>
      <c r="I35" s="13">
        <v>66.433587999999986</v>
      </c>
      <c r="J35" s="13">
        <v>193.99484200000003</v>
      </c>
      <c r="K35" s="13"/>
      <c r="L35" s="13"/>
      <c r="M35" s="13"/>
      <c r="N35" s="14">
        <v>1497.8672329999999</v>
      </c>
    </row>
    <row r="36" spans="1:14" x14ac:dyDescent="0.3">
      <c r="A36" s="13" t="s">
        <v>28</v>
      </c>
      <c r="B36" s="13">
        <v>1.23</v>
      </c>
      <c r="C36" s="13">
        <v>4.0290300000000006</v>
      </c>
      <c r="D36" s="13">
        <v>1.9062299999999999</v>
      </c>
      <c r="E36" s="13">
        <v>1.4109599999999998</v>
      </c>
      <c r="F36" s="13">
        <v>1.7260800000000001</v>
      </c>
      <c r="G36" s="13">
        <v>1.2848600000000001</v>
      </c>
      <c r="H36" s="13">
        <v>0.69616999999999996</v>
      </c>
      <c r="I36" s="13">
        <v>3.5386299999999995</v>
      </c>
      <c r="J36" s="13">
        <v>4.4180799999999998</v>
      </c>
      <c r="K36" s="13"/>
      <c r="L36" s="13"/>
      <c r="M36" s="13"/>
      <c r="N36" s="14">
        <v>20.24004</v>
      </c>
    </row>
    <row r="37" spans="1:14" x14ac:dyDescent="0.3">
      <c r="A37" s="13" t="s">
        <v>39</v>
      </c>
      <c r="B37" s="13">
        <v>45.179091</v>
      </c>
      <c r="C37" s="13">
        <v>28.326772999999999</v>
      </c>
      <c r="D37" s="13">
        <v>0</v>
      </c>
      <c r="E37" s="13">
        <v>4.4000000000000004</v>
      </c>
      <c r="F37" s="13">
        <v>34.096961</v>
      </c>
      <c r="G37" s="13">
        <v>0</v>
      </c>
      <c r="H37" s="13">
        <v>0</v>
      </c>
      <c r="I37" s="13">
        <v>41.5</v>
      </c>
      <c r="J37" s="13">
        <v>75.566777999999999</v>
      </c>
      <c r="K37" s="13"/>
      <c r="L37" s="13"/>
      <c r="M37" s="13"/>
      <c r="N37" s="14">
        <v>229.069603</v>
      </c>
    </row>
    <row r="38" spans="1:14" x14ac:dyDescent="0.3">
      <c r="A38" s="13" t="s">
        <v>40</v>
      </c>
      <c r="B38" s="13">
        <v>230.01406423999998</v>
      </c>
      <c r="C38" s="13">
        <v>100.36242299999999</v>
      </c>
      <c r="D38" s="13">
        <v>172.71226800000002</v>
      </c>
      <c r="E38" s="13">
        <v>114.15645799999999</v>
      </c>
      <c r="F38" s="13">
        <v>109.65885507999998</v>
      </c>
      <c r="G38" s="13">
        <v>124.83955399999999</v>
      </c>
      <c r="H38" s="13">
        <v>131.70499099999998</v>
      </c>
      <c r="I38" s="13">
        <v>145.35991100000001</v>
      </c>
      <c r="J38" s="13">
        <v>176.179655</v>
      </c>
      <c r="K38" s="13"/>
      <c r="L38" s="13"/>
      <c r="M38" s="13"/>
      <c r="N38" s="14">
        <v>1304.9881793199997</v>
      </c>
    </row>
    <row r="39" spans="1:14" ht="15.6" x14ac:dyDescent="0.3">
      <c r="A39" s="22" t="s">
        <v>41</v>
      </c>
      <c r="B39" s="17">
        <v>4039.9926419120006</v>
      </c>
      <c r="C39" s="17">
        <v>5629.6496292599977</v>
      </c>
      <c r="D39" s="17">
        <v>5352.392119118299</v>
      </c>
      <c r="E39" s="17">
        <v>5031.7117373582005</v>
      </c>
      <c r="F39" s="17">
        <v>5662.4348467316004</v>
      </c>
      <c r="G39" s="17">
        <v>6183.7538343920778</v>
      </c>
      <c r="H39" s="17">
        <v>5114.5884089188294</v>
      </c>
      <c r="I39" s="17">
        <v>5250.4486539133359</v>
      </c>
      <c r="J39" s="17">
        <v>5406.4536115824212</v>
      </c>
      <c r="K39" s="17">
        <v>0</v>
      </c>
      <c r="L39" s="17">
        <v>0</v>
      </c>
      <c r="M39" s="17">
        <v>0</v>
      </c>
      <c r="N39" s="17">
        <v>47671.425483186758</v>
      </c>
    </row>
    <row r="40" spans="1:14" ht="15.6" x14ac:dyDescent="0.3">
      <c r="A40" s="18" t="s">
        <v>42</v>
      </c>
      <c r="B40" s="17">
        <v>20874.90466987</v>
      </c>
      <c r="C40" s="17">
        <v>19889.560239702001</v>
      </c>
      <c r="D40" s="17">
        <v>19024.503115228697</v>
      </c>
      <c r="E40" s="17">
        <v>18120.084437641795</v>
      </c>
      <c r="F40" s="17">
        <v>18473.051723989403</v>
      </c>
      <c r="G40" s="17">
        <v>18372.000548103922</v>
      </c>
      <c r="H40" s="17">
        <v>20017.834157915175</v>
      </c>
      <c r="I40" s="17">
        <v>20202.300509616001</v>
      </c>
      <c r="J40" s="17">
        <v>20173.695025963912</v>
      </c>
      <c r="K40" s="17">
        <v>0</v>
      </c>
      <c r="L40" s="17">
        <v>0</v>
      </c>
      <c r="M40" s="17">
        <v>0</v>
      </c>
      <c r="N40" s="17">
        <v>175147.93442803089</v>
      </c>
    </row>
    <row r="41" spans="1:14" s="32" customFormat="1" x14ac:dyDescent="0.3">
      <c r="A41" s="29" t="s">
        <v>53</v>
      </c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 x14ac:dyDescent="0.3">
      <c r="A42" s="23" t="s">
        <v>43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3">
      <c r="A43" s="25" t="s">
        <v>44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3">
      <c r="A44" s="25" t="s">
        <v>45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6"/>
    </row>
    <row r="45" spans="1:14" x14ac:dyDescent="0.3">
      <c r="A45" s="25" t="s">
        <v>46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"/>
    </row>
    <row r="46" spans="1:14" x14ac:dyDescent="0.3">
      <c r="A46" s="25" t="s">
        <v>47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1"/>
    </row>
    <row r="47" spans="1:14" x14ac:dyDescent="0.3">
      <c r="A47" s="25" t="s">
        <v>48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"/>
    </row>
    <row r="48" spans="1:14" x14ac:dyDescent="0.3">
      <c r="A48" s="25" t="s">
        <v>49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"/>
    </row>
    <row r="49" spans="1:14" x14ac:dyDescent="0.3">
      <c r="A49" s="25" t="s">
        <v>50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1"/>
    </row>
    <row r="50" spans="1:14" x14ac:dyDescent="0.3">
      <c r="A50" s="28" t="s">
        <v>51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1"/>
    </row>
    <row r="51" spans="1:14" x14ac:dyDescent="0.3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5008-84CF-4FE7-8841-8334EE4073D8}">
  <dimension ref="A2:N51"/>
  <sheetViews>
    <sheetView topLeftCell="A6" workbookViewId="0">
      <pane xSplit="1" topLeftCell="K1" activePane="topRight" state="frozen"/>
      <selection pane="topRight" activeCell="N29" activeCellId="1" sqref="N27 N29"/>
    </sheetView>
  </sheetViews>
  <sheetFormatPr defaultRowHeight="14.4" x14ac:dyDescent="0.3"/>
  <cols>
    <col min="1" max="1" width="32.44140625" customWidth="1"/>
    <col min="2" max="10" width="17.5546875" customWidth="1"/>
    <col min="11" max="11" width="14.21875" bestFit="1" customWidth="1"/>
    <col min="12" max="12" width="17.5546875" customWidth="1"/>
    <col min="13" max="13" width="14.21875" customWidth="1"/>
    <col min="14" max="14" width="14.44140625" customWidth="1"/>
  </cols>
  <sheetData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0.399999999999999" x14ac:dyDescent="0.35">
      <c r="A4" s="2"/>
      <c r="B4" s="1"/>
      <c r="C4" s="1"/>
      <c r="D4" s="1"/>
      <c r="E4" s="3" t="s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ht="17.399999999999999" x14ac:dyDescent="0.3">
      <c r="A5" s="2"/>
      <c r="B5" s="1"/>
      <c r="C5" s="1"/>
      <c r="D5" s="1"/>
      <c r="E5" s="4"/>
      <c r="F5" s="1"/>
      <c r="G5" s="1"/>
      <c r="H5" s="1"/>
      <c r="I5" s="1"/>
      <c r="J5" s="1"/>
      <c r="K5" s="1"/>
      <c r="L5" s="1"/>
      <c r="M5" s="1"/>
      <c r="N5" s="1"/>
    </row>
    <row r="6" spans="1:14" ht="18" x14ac:dyDescent="0.35">
      <c r="A6" s="5" t="s">
        <v>54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37" t="s">
        <v>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17.399999999999999" x14ac:dyDescent="0.3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7.399999999999999" x14ac:dyDescent="0.3">
      <c r="A9" s="8" t="s">
        <v>3</v>
      </c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9" t="s">
        <v>9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</row>
    <row r="10" spans="1:14" ht="15.6" x14ac:dyDescent="0.3">
      <c r="A10" s="10" t="s">
        <v>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.6" x14ac:dyDescent="0.3">
      <c r="A11" s="12" t="s">
        <v>18</v>
      </c>
      <c r="B11" s="13">
        <v>21439.182204842</v>
      </c>
      <c r="C11" s="13">
        <v>22032.910436285001</v>
      </c>
      <c r="D11" s="13">
        <v>18812.871700452004</v>
      </c>
      <c r="E11" s="13">
        <v>19403.120625871001</v>
      </c>
      <c r="F11" s="13">
        <v>20179.641479270998</v>
      </c>
      <c r="G11" s="13">
        <v>18788.982869257004</v>
      </c>
      <c r="H11" s="13">
        <v>19937.318147285001</v>
      </c>
      <c r="I11" s="13">
        <v>18947.296514351001</v>
      </c>
      <c r="J11" s="13">
        <v>20195.251091081998</v>
      </c>
      <c r="K11" s="13">
        <v>21225.096059839998</v>
      </c>
      <c r="L11" s="13">
        <v>19465.977391007</v>
      </c>
      <c r="M11" s="13">
        <v>22797.322842506001</v>
      </c>
      <c r="N11" s="14">
        <f>SUM(B11:M11)</f>
        <v>243224.97136204902</v>
      </c>
    </row>
    <row r="12" spans="1:14" ht="15.6" x14ac:dyDescent="0.3">
      <c r="A12" s="12" t="s">
        <v>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4" x14ac:dyDescent="0.3">
      <c r="A13" s="13" t="s">
        <v>20</v>
      </c>
      <c r="B13" s="13">
        <v>1453.0541929999999</v>
      </c>
      <c r="C13" s="13">
        <v>1566.6425810000001</v>
      </c>
      <c r="D13" s="13">
        <v>1323.3275529999999</v>
      </c>
      <c r="E13" s="13">
        <v>1821.598909</v>
      </c>
      <c r="F13" s="13">
        <v>1774.754445</v>
      </c>
      <c r="G13" s="13">
        <v>1656.047243</v>
      </c>
      <c r="H13" s="13">
        <v>2003.3250440000002</v>
      </c>
      <c r="I13" s="13">
        <v>1950.5067640000002</v>
      </c>
      <c r="J13" s="13">
        <v>1853.800745</v>
      </c>
      <c r="K13" s="13">
        <v>1810.698296</v>
      </c>
      <c r="L13" s="13">
        <v>1568.4832220000001</v>
      </c>
      <c r="M13" s="13">
        <v>1884.6163959999999</v>
      </c>
      <c r="N13" s="14">
        <f t="shared" ref="N13:N23" si="0">SUM(B13:M13)</f>
        <v>20666.855391000001</v>
      </c>
    </row>
    <row r="14" spans="1:14" x14ac:dyDescent="0.3">
      <c r="A14" s="15" t="s">
        <v>21</v>
      </c>
      <c r="B14" s="13">
        <v>29.993655999999998</v>
      </c>
      <c r="C14" s="13">
        <v>86.517615000000006</v>
      </c>
      <c r="D14" s="13">
        <v>2.2910000000000001E-3</v>
      </c>
      <c r="E14" s="13">
        <v>54.475146000000002</v>
      </c>
      <c r="F14" s="13">
        <v>0</v>
      </c>
      <c r="G14" s="13">
        <v>63.593400000000003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1.371E-3</v>
      </c>
      <c r="N14" s="14">
        <f t="shared" si="0"/>
        <v>234.58347900000001</v>
      </c>
    </row>
    <row r="15" spans="1:14" x14ac:dyDescent="0.3">
      <c r="A15" s="13" t="s">
        <v>22</v>
      </c>
      <c r="B15" s="13">
        <v>121.21920400000002</v>
      </c>
      <c r="C15" s="13">
        <v>70.024584999999988</v>
      </c>
      <c r="D15" s="13">
        <v>6.9046370000000001</v>
      </c>
      <c r="E15" s="13">
        <v>164.54009600000001</v>
      </c>
      <c r="F15" s="13">
        <v>146.17390399999999</v>
      </c>
      <c r="G15" s="13">
        <v>82.696829000000008</v>
      </c>
      <c r="H15" s="13">
        <v>54.273124000000003</v>
      </c>
      <c r="I15" s="13">
        <v>167.449218</v>
      </c>
      <c r="J15" s="13">
        <v>52.158672000000003</v>
      </c>
      <c r="K15" s="13">
        <v>5.6905520000000003</v>
      </c>
      <c r="L15" s="13">
        <v>30.914058999999998</v>
      </c>
      <c r="M15" s="13">
        <v>38.651766000000002</v>
      </c>
      <c r="N15" s="14">
        <f t="shared" si="0"/>
        <v>940.69664599999999</v>
      </c>
    </row>
    <row r="16" spans="1:14" x14ac:dyDescent="0.3">
      <c r="A16" s="13" t="s">
        <v>23</v>
      </c>
      <c r="B16" s="13">
        <v>1.7110000000000001E-3</v>
      </c>
      <c r="C16" s="13">
        <v>2.6129999999999999E-3</v>
      </c>
      <c r="D16" s="13">
        <v>0</v>
      </c>
      <c r="E16" s="13">
        <v>3.0079999999999998E-3</v>
      </c>
      <c r="F16" s="13">
        <v>7.28E-3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>
        <f t="shared" si="0"/>
        <v>1.4612E-2</v>
      </c>
    </row>
    <row r="17" spans="1:14" x14ac:dyDescent="0.3">
      <c r="A17" s="15" t="s">
        <v>24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>
        <f t="shared" si="0"/>
        <v>0</v>
      </c>
    </row>
    <row r="18" spans="1:14" x14ac:dyDescent="0.3">
      <c r="A18" s="13" t="s">
        <v>25</v>
      </c>
      <c r="B18" s="13">
        <v>1.7543690000000001</v>
      </c>
      <c r="C18" s="13">
        <v>7.5530859999999995</v>
      </c>
      <c r="D18" s="13">
        <v>1.7102119999999998</v>
      </c>
      <c r="E18" s="13">
        <v>1.498956</v>
      </c>
      <c r="F18" s="13">
        <v>2.4253650000000002</v>
      </c>
      <c r="G18" s="13">
        <v>0.28754999999999997</v>
      </c>
      <c r="H18" s="13">
        <v>8.6516979999999997</v>
      </c>
      <c r="I18" s="13">
        <v>4.2127509999999999</v>
      </c>
      <c r="J18" s="13">
        <v>1.5295370000000001</v>
      </c>
      <c r="K18" s="13">
        <v>2.6467960000000001</v>
      </c>
      <c r="L18" s="13">
        <v>7.2027360000000007</v>
      </c>
      <c r="M18" s="13">
        <v>2.474294</v>
      </c>
      <c r="N18" s="14">
        <f t="shared" si="0"/>
        <v>41.94735</v>
      </c>
    </row>
    <row r="19" spans="1:14" x14ac:dyDescent="0.3">
      <c r="A19" s="13" t="s">
        <v>26</v>
      </c>
      <c r="B19" s="13">
        <v>284.54282099999995</v>
      </c>
      <c r="C19" s="13">
        <v>349.51402200000001</v>
      </c>
      <c r="D19" s="13">
        <v>297.783412</v>
      </c>
      <c r="E19" s="13">
        <v>172.65718799999996</v>
      </c>
      <c r="F19" s="13">
        <v>211.99448799999999</v>
      </c>
      <c r="G19" s="13">
        <v>243.43415100000001</v>
      </c>
      <c r="H19" s="13">
        <v>214.02650400000002</v>
      </c>
      <c r="I19" s="13">
        <v>211.78636299999999</v>
      </c>
      <c r="J19" s="13">
        <v>198.607834</v>
      </c>
      <c r="K19" s="13">
        <v>240.603511</v>
      </c>
      <c r="L19" s="13">
        <v>172.33851300000003</v>
      </c>
      <c r="M19" s="13">
        <v>266.829004</v>
      </c>
      <c r="N19" s="14">
        <f t="shared" si="0"/>
        <v>2864.1178110000001</v>
      </c>
    </row>
    <row r="20" spans="1:14" x14ac:dyDescent="0.3">
      <c r="A20" s="13" t="s">
        <v>27</v>
      </c>
      <c r="B20" s="13">
        <v>791.920885</v>
      </c>
      <c r="C20" s="13">
        <v>623.43267299999991</v>
      </c>
      <c r="D20" s="13">
        <v>647.92079899999999</v>
      </c>
      <c r="E20" s="13">
        <v>816.84631100000013</v>
      </c>
      <c r="F20" s="13">
        <v>624.05854799999997</v>
      </c>
      <c r="G20" s="13">
        <v>634.50113899999997</v>
      </c>
      <c r="H20" s="13">
        <v>743.71293000000003</v>
      </c>
      <c r="I20" s="13">
        <v>612.49086299999999</v>
      </c>
      <c r="J20" s="13">
        <v>608.30288100000007</v>
      </c>
      <c r="K20" s="13">
        <v>680.36322200000006</v>
      </c>
      <c r="L20" s="13">
        <v>415.923857</v>
      </c>
      <c r="M20" s="13">
        <v>474.50217600000002</v>
      </c>
      <c r="N20" s="14">
        <f t="shared" si="0"/>
        <v>7673.9762840000003</v>
      </c>
    </row>
    <row r="21" spans="1:14" x14ac:dyDescent="0.3">
      <c r="A21" s="13" t="s">
        <v>28</v>
      </c>
      <c r="B21" s="13">
        <v>274.24624600000004</v>
      </c>
      <c r="C21" s="13">
        <v>338.82306799999998</v>
      </c>
      <c r="D21" s="13">
        <v>237.88717600000001</v>
      </c>
      <c r="E21" s="13">
        <v>159.32181199999999</v>
      </c>
      <c r="F21" s="13">
        <v>126.657578</v>
      </c>
      <c r="G21" s="13">
        <v>163.73665099999999</v>
      </c>
      <c r="H21" s="13">
        <v>193.98767800000002</v>
      </c>
      <c r="I21" s="13">
        <v>237.61997199999999</v>
      </c>
      <c r="J21" s="13">
        <v>216.73700099999999</v>
      </c>
      <c r="K21" s="13">
        <v>298.10044299999998</v>
      </c>
      <c r="L21" s="13">
        <v>309.52164999999997</v>
      </c>
      <c r="M21" s="13">
        <v>343.27605599999998</v>
      </c>
      <c r="N21" s="14">
        <f t="shared" si="0"/>
        <v>2899.9153310000002</v>
      </c>
    </row>
    <row r="22" spans="1:14" x14ac:dyDescent="0.3">
      <c r="A22" s="13" t="s">
        <v>29</v>
      </c>
      <c r="B22" s="13">
        <v>1026.1058700000001</v>
      </c>
      <c r="C22" s="13">
        <v>1005.053937</v>
      </c>
      <c r="D22" s="13">
        <v>849.67124200000001</v>
      </c>
      <c r="E22" s="13">
        <v>1587.5101709999999</v>
      </c>
      <c r="F22" s="13">
        <v>1058.1353120000001</v>
      </c>
      <c r="G22" s="13">
        <v>604.0142239999999</v>
      </c>
      <c r="H22" s="13">
        <v>1349.5907200000001</v>
      </c>
      <c r="I22" s="13">
        <v>1265.003547</v>
      </c>
      <c r="J22" s="13">
        <v>1125.2438020000002</v>
      </c>
      <c r="K22" s="13">
        <v>1188.4850409999999</v>
      </c>
      <c r="L22" s="13">
        <v>1299.8956950000002</v>
      </c>
      <c r="M22" s="13">
        <v>793.87070599999993</v>
      </c>
      <c r="N22" s="14">
        <f t="shared" si="0"/>
        <v>13152.580266999999</v>
      </c>
    </row>
    <row r="23" spans="1:14" x14ac:dyDescent="0.3">
      <c r="A23" s="13" t="s">
        <v>30</v>
      </c>
      <c r="B23" s="13">
        <v>215.474942</v>
      </c>
      <c r="C23" s="13">
        <v>202.85650100000009</v>
      </c>
      <c r="D23" s="13">
        <v>253.81959499999996</v>
      </c>
      <c r="E23" s="13">
        <v>158.61407099999997</v>
      </c>
      <c r="F23" s="13">
        <v>258.10835999999995</v>
      </c>
      <c r="G23" s="13">
        <v>190.32531299999999</v>
      </c>
      <c r="H23" s="13">
        <v>111.49221199999999</v>
      </c>
      <c r="I23" s="13">
        <v>200.82887699999989</v>
      </c>
      <c r="J23" s="13">
        <v>190.40825999999998</v>
      </c>
      <c r="K23" s="13">
        <v>213.67974399999994</v>
      </c>
      <c r="L23" s="13">
        <v>149.35825800000001</v>
      </c>
      <c r="M23" s="13">
        <v>283.36448799999999</v>
      </c>
      <c r="N23" s="14">
        <f t="shared" si="0"/>
        <v>2428.3306210000001</v>
      </c>
    </row>
    <row r="24" spans="1:14" ht="15.6" x14ac:dyDescent="0.3">
      <c r="A24" s="16" t="s">
        <v>31</v>
      </c>
      <c r="B24" s="17">
        <f t="shared" ref="B24:N24" si="1">SUM(B13:B23)</f>
        <v>4198.313897</v>
      </c>
      <c r="C24" s="17">
        <f t="shared" si="1"/>
        <v>4250.4206809999996</v>
      </c>
      <c r="D24" s="17">
        <f t="shared" si="1"/>
        <v>3619.0269169999997</v>
      </c>
      <c r="E24" s="17">
        <f t="shared" si="1"/>
        <v>4937.0656680000002</v>
      </c>
      <c r="F24" s="17">
        <f t="shared" si="1"/>
        <v>4202.3152799999998</v>
      </c>
      <c r="G24" s="17">
        <f t="shared" si="1"/>
        <v>3638.6364999999996</v>
      </c>
      <c r="H24" s="17">
        <f t="shared" si="1"/>
        <v>4679.0599100000009</v>
      </c>
      <c r="I24" s="17">
        <f t="shared" si="1"/>
        <v>4649.8983550000003</v>
      </c>
      <c r="J24" s="17">
        <f t="shared" si="1"/>
        <v>4246.788732</v>
      </c>
      <c r="K24" s="17">
        <f t="shared" si="1"/>
        <v>4440.267605</v>
      </c>
      <c r="L24" s="17">
        <f t="shared" si="1"/>
        <v>3953.6379900000006</v>
      </c>
      <c r="M24" s="17">
        <f t="shared" si="1"/>
        <v>4087.5862569999999</v>
      </c>
      <c r="N24" s="17">
        <f t="shared" si="1"/>
        <v>50903.017791999999</v>
      </c>
    </row>
    <row r="25" spans="1:14" ht="15.6" x14ac:dyDescent="0.3">
      <c r="A25" s="18" t="s">
        <v>32</v>
      </c>
      <c r="B25" s="17">
        <f t="shared" ref="B25:G25" si="2">+B24+B11</f>
        <v>25637.496101842</v>
      </c>
      <c r="C25" s="17">
        <f t="shared" si="2"/>
        <v>26283.331117285001</v>
      </c>
      <c r="D25" s="17">
        <f t="shared" si="2"/>
        <v>22431.898617452003</v>
      </c>
      <c r="E25" s="17">
        <f t="shared" si="2"/>
        <v>24340.186293871</v>
      </c>
      <c r="F25" s="17">
        <f t="shared" si="2"/>
        <v>24381.956759270997</v>
      </c>
      <c r="G25" s="17">
        <f t="shared" si="2"/>
        <v>22427.619369257005</v>
      </c>
      <c r="H25" s="17">
        <f t="shared" ref="H25:N25" si="3">+H11+H24</f>
        <v>24616.378057285001</v>
      </c>
      <c r="I25" s="17">
        <f t="shared" si="3"/>
        <v>23597.194869351002</v>
      </c>
      <c r="J25" s="17">
        <f t="shared" si="3"/>
        <v>24442.039823081999</v>
      </c>
      <c r="K25" s="17">
        <f t="shared" si="3"/>
        <v>25665.363664839999</v>
      </c>
      <c r="L25" s="17">
        <f t="shared" si="3"/>
        <v>23419.615381006999</v>
      </c>
      <c r="M25" s="17">
        <f t="shared" si="3"/>
        <v>26884.909099506</v>
      </c>
      <c r="N25" s="17">
        <f t="shared" si="3"/>
        <v>294127.98915404902</v>
      </c>
    </row>
    <row r="26" spans="1:14" ht="15.6" x14ac:dyDescent="0.3">
      <c r="A26" s="19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20" t="s">
        <v>20</v>
      </c>
      <c r="B27" s="13">
        <v>44.456493999999999</v>
      </c>
      <c r="C27" s="13">
        <v>43.556843999999998</v>
      </c>
      <c r="D27" s="13">
        <v>45.679000000000002</v>
      </c>
      <c r="E27" s="13">
        <v>44.604999999999997</v>
      </c>
      <c r="F27" s="13">
        <v>43.88</v>
      </c>
      <c r="G27" s="13">
        <v>40.75</v>
      </c>
      <c r="H27" s="13">
        <v>46.73</v>
      </c>
      <c r="I27" s="13">
        <v>43.997</v>
      </c>
      <c r="J27" s="13">
        <v>49.32</v>
      </c>
      <c r="K27" s="13">
        <v>49.139300000000006</v>
      </c>
      <c r="L27" s="13">
        <v>48.720959999999998</v>
      </c>
      <c r="M27" s="13">
        <v>50.351040000000005</v>
      </c>
      <c r="N27" s="14">
        <f t="shared" ref="N27:N38" si="4">SUM(B27:M27)</f>
        <v>551.18563799999993</v>
      </c>
    </row>
    <row r="28" spans="1:14" x14ac:dyDescent="0.3">
      <c r="A28" s="21" t="s">
        <v>34</v>
      </c>
      <c r="B28" s="13">
        <v>1178.0544084571002</v>
      </c>
      <c r="C28" s="13">
        <v>1277.3363677632999</v>
      </c>
      <c r="D28" s="13">
        <v>1239.1814975918003</v>
      </c>
      <c r="E28" s="13">
        <v>1065.4327248965001</v>
      </c>
      <c r="F28" s="13">
        <v>1177.2994095996</v>
      </c>
      <c r="G28" s="13">
        <v>1244.9656450006999</v>
      </c>
      <c r="H28" s="13">
        <v>1117.7750614422</v>
      </c>
      <c r="I28" s="13">
        <v>1240.4989427866999</v>
      </c>
      <c r="J28" s="13">
        <v>1472.5864192444999</v>
      </c>
      <c r="K28" s="13">
        <v>1362.2716196194001</v>
      </c>
      <c r="L28" s="13">
        <v>1686.7017908845005</v>
      </c>
      <c r="M28" s="13">
        <v>1768.3750352820998</v>
      </c>
      <c r="N28" s="14">
        <f t="shared" si="4"/>
        <v>15830.4789225684</v>
      </c>
    </row>
    <row r="29" spans="1:14" x14ac:dyDescent="0.3">
      <c r="A29" s="20" t="s">
        <v>35</v>
      </c>
      <c r="B29" s="13">
        <v>438.56573800000001</v>
      </c>
      <c r="C29" s="13">
        <v>390.38066999999995</v>
      </c>
      <c r="D29" s="13">
        <v>491.23489000000001</v>
      </c>
      <c r="E29" s="13">
        <v>457.86005399999999</v>
      </c>
      <c r="F29" s="13">
        <v>412.76367599999998</v>
      </c>
      <c r="G29" s="13">
        <v>415.47188900000009</v>
      </c>
      <c r="H29" s="13">
        <v>334.35565700000001</v>
      </c>
      <c r="I29" s="13">
        <v>439.83505099999996</v>
      </c>
      <c r="J29" s="13">
        <v>425.19471299999998</v>
      </c>
      <c r="K29" s="13">
        <v>442.24256500000001</v>
      </c>
      <c r="L29" s="13">
        <v>552.16856799999994</v>
      </c>
      <c r="M29" s="13">
        <v>368.92483400000003</v>
      </c>
      <c r="N29" s="14">
        <f t="shared" si="4"/>
        <v>5168.9983050000001</v>
      </c>
    </row>
    <row r="30" spans="1:14" x14ac:dyDescent="0.3">
      <c r="A30" s="20" t="s">
        <v>36</v>
      </c>
      <c r="B30" s="13">
        <v>643.14289099999996</v>
      </c>
      <c r="C30" s="13">
        <v>857.00264199999992</v>
      </c>
      <c r="D30" s="13">
        <v>634.06065000000001</v>
      </c>
      <c r="E30" s="13">
        <v>718.60650699999997</v>
      </c>
      <c r="F30" s="13">
        <v>701.65162899999996</v>
      </c>
      <c r="G30" s="13">
        <v>924.47412299999996</v>
      </c>
      <c r="H30" s="13">
        <v>656.67093</v>
      </c>
      <c r="I30" s="13">
        <v>738.36377799999991</v>
      </c>
      <c r="J30" s="13">
        <v>838.04545899999994</v>
      </c>
      <c r="K30" s="13">
        <v>527.25370599999997</v>
      </c>
      <c r="L30" s="13">
        <v>647.32169900000008</v>
      </c>
      <c r="M30" s="13">
        <v>667.36150999999995</v>
      </c>
      <c r="N30" s="14">
        <f t="shared" si="4"/>
        <v>8553.9555240000009</v>
      </c>
    </row>
    <row r="31" spans="1:14" x14ac:dyDescent="0.3">
      <c r="A31" s="15" t="s">
        <v>24</v>
      </c>
      <c r="B31" s="13">
        <v>1.1086660000000002</v>
      </c>
      <c r="C31" s="13">
        <v>0.97735700000000003</v>
      </c>
      <c r="D31" s="13">
        <v>1.41</v>
      </c>
      <c r="E31" s="13">
        <v>0.72799999999999998</v>
      </c>
      <c r="F31" s="13">
        <v>0.54</v>
      </c>
      <c r="G31" s="13">
        <v>0.8</v>
      </c>
      <c r="H31" s="13">
        <v>1</v>
      </c>
      <c r="I31" s="13">
        <v>0.71400000000000008</v>
      </c>
      <c r="J31" s="13">
        <v>1.825</v>
      </c>
      <c r="K31" s="13">
        <v>0.99194000000000004</v>
      </c>
      <c r="L31" s="13">
        <v>0.60868</v>
      </c>
      <c r="M31" s="13">
        <v>1.2579500000000001</v>
      </c>
      <c r="N31" s="14">
        <f t="shared" si="4"/>
        <v>11.961593000000001</v>
      </c>
    </row>
    <row r="32" spans="1:14" x14ac:dyDescent="0.3">
      <c r="A32" s="13" t="s">
        <v>25</v>
      </c>
      <c r="B32" s="13">
        <v>1998.7802559255999</v>
      </c>
      <c r="C32" s="13">
        <v>2140.1725011157</v>
      </c>
      <c r="D32" s="13">
        <v>1944.1017009421003</v>
      </c>
      <c r="E32" s="13">
        <v>2081.6384547273001</v>
      </c>
      <c r="F32" s="13">
        <v>2098.7548299916998</v>
      </c>
      <c r="G32" s="13">
        <v>2693.5529302893001</v>
      </c>
      <c r="H32" s="13">
        <v>2349.0849475289001</v>
      </c>
      <c r="I32" s="13">
        <v>2288.8641566197994</v>
      </c>
      <c r="J32" s="13">
        <v>2489.0099968429995</v>
      </c>
      <c r="K32" s="13">
        <v>2788.7335622562005</v>
      </c>
      <c r="L32" s="13">
        <v>2329.1345503471002</v>
      </c>
      <c r="M32" s="13">
        <v>2825.4332694050004</v>
      </c>
      <c r="N32" s="14">
        <f t="shared" si="4"/>
        <v>28027.261155991702</v>
      </c>
    </row>
    <row r="33" spans="1:14" x14ac:dyDescent="0.3">
      <c r="A33" s="13" t="s">
        <v>37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>
        <f t="shared" si="4"/>
        <v>0</v>
      </c>
    </row>
    <row r="34" spans="1:14" x14ac:dyDescent="0.3">
      <c r="A34" s="13" t="s">
        <v>38</v>
      </c>
      <c r="B34" s="13">
        <v>0.49905337800000005</v>
      </c>
      <c r="C34" s="13">
        <v>1.9341423777000002</v>
      </c>
      <c r="D34" s="13">
        <v>1.1336651089000001</v>
      </c>
      <c r="E34" s="13">
        <v>1.9608401536000002</v>
      </c>
      <c r="F34" s="13">
        <v>1.4249057251999999</v>
      </c>
      <c r="G34" s="13">
        <v>1.6660547129999999</v>
      </c>
      <c r="H34" s="13">
        <v>1.3718778068000002</v>
      </c>
      <c r="I34" s="13">
        <v>0.88672165169999995</v>
      </c>
      <c r="J34" s="13">
        <v>1.7792141572000002</v>
      </c>
      <c r="K34" s="13">
        <v>0.7241418503999999</v>
      </c>
      <c r="L34" s="13">
        <v>1.4125726975000001</v>
      </c>
      <c r="M34" s="13">
        <v>2.2563683751000001</v>
      </c>
      <c r="N34" s="14">
        <f t="shared" si="4"/>
        <v>17.049557995100002</v>
      </c>
    </row>
    <row r="35" spans="1:14" x14ac:dyDescent="0.3">
      <c r="A35" s="13" t="s">
        <v>27</v>
      </c>
      <c r="B35" s="13">
        <v>123.66629499999999</v>
      </c>
      <c r="C35" s="13">
        <v>139.90372400000001</v>
      </c>
      <c r="D35" s="13">
        <v>132.70908600000001</v>
      </c>
      <c r="E35" s="13">
        <v>276.78033800000003</v>
      </c>
      <c r="F35" s="13">
        <v>291.60811899999999</v>
      </c>
      <c r="G35" s="13">
        <v>374.79408000000001</v>
      </c>
      <c r="H35" s="13">
        <v>201.612821</v>
      </c>
      <c r="I35" s="13">
        <v>175.96698499999999</v>
      </c>
      <c r="J35" s="13">
        <v>191.354197</v>
      </c>
      <c r="K35" s="13">
        <v>142.812299</v>
      </c>
      <c r="L35" s="13">
        <v>139.07220000000001</v>
      </c>
      <c r="M35" s="13">
        <v>222.89920599999999</v>
      </c>
      <c r="N35" s="14">
        <f t="shared" si="4"/>
        <v>2413.1793500000003</v>
      </c>
    </row>
    <row r="36" spans="1:14" x14ac:dyDescent="0.3">
      <c r="A36" s="13" t="s">
        <v>28</v>
      </c>
      <c r="B36" s="13">
        <v>3.4020000000000001</v>
      </c>
      <c r="C36" s="13">
        <v>1.813134</v>
      </c>
      <c r="D36" s="13">
        <v>1.3900000000000001</v>
      </c>
      <c r="E36" s="13">
        <v>2.1080000000000001</v>
      </c>
      <c r="F36" s="13">
        <v>0.98399999999999999</v>
      </c>
      <c r="G36" s="13">
        <v>3.3180000000000005</v>
      </c>
      <c r="H36" s="13">
        <v>0.85499999999999998</v>
      </c>
      <c r="I36" s="13">
        <v>1.26</v>
      </c>
      <c r="J36" s="13">
        <v>1.276</v>
      </c>
      <c r="K36" s="13">
        <v>0.61569000000000007</v>
      </c>
      <c r="L36" s="13">
        <v>1.4037200000000001</v>
      </c>
      <c r="M36" s="13">
        <v>4.6422600000000003</v>
      </c>
      <c r="N36" s="14">
        <f t="shared" si="4"/>
        <v>23.067804000000002</v>
      </c>
    </row>
    <row r="37" spans="1:14" x14ac:dyDescent="0.3">
      <c r="A37" s="13" t="s">
        <v>39</v>
      </c>
      <c r="B37" s="13">
        <v>71.961375000000004</v>
      </c>
      <c r="C37" s="13">
        <v>72.662695000000014</v>
      </c>
      <c r="D37" s="13">
        <v>122.821215</v>
      </c>
      <c r="E37" s="13">
        <v>104.15998999999999</v>
      </c>
      <c r="F37" s="13">
        <v>55.88532</v>
      </c>
      <c r="G37" s="13">
        <v>167.689547</v>
      </c>
      <c r="H37" s="13">
        <v>18.100569</v>
      </c>
      <c r="I37" s="13">
        <v>41.912125000000003</v>
      </c>
      <c r="J37" s="13">
        <v>1.84</v>
      </c>
      <c r="K37" s="13">
        <v>2.82897</v>
      </c>
      <c r="L37" s="13">
        <v>4.5055399999999999</v>
      </c>
      <c r="M37" s="13">
        <v>27.925854000000001</v>
      </c>
      <c r="N37" s="14">
        <f t="shared" si="4"/>
        <v>692.29319999999996</v>
      </c>
    </row>
    <row r="38" spans="1:14" x14ac:dyDescent="0.3">
      <c r="A38" s="13" t="s">
        <v>40</v>
      </c>
      <c r="B38" s="13">
        <v>250.425138</v>
      </c>
      <c r="C38" s="13">
        <v>330.22650181899996</v>
      </c>
      <c r="D38" s="13">
        <v>363.11728599999998</v>
      </c>
      <c r="E38" s="13">
        <v>370.68392599999999</v>
      </c>
      <c r="F38" s="13">
        <v>309.15776800000003</v>
      </c>
      <c r="G38" s="13">
        <v>617.78838229999997</v>
      </c>
      <c r="H38" s="13">
        <v>325.68987499999997</v>
      </c>
      <c r="I38" s="13">
        <v>369.59447999999992</v>
      </c>
      <c r="J38" s="13">
        <v>277.503376</v>
      </c>
      <c r="K38" s="13">
        <v>153.70045400000001</v>
      </c>
      <c r="L38" s="13">
        <v>216.23072415000001</v>
      </c>
      <c r="M38" s="13">
        <v>202.14120099999997</v>
      </c>
      <c r="N38" s="14">
        <f t="shared" si="4"/>
        <v>3786.2591122689996</v>
      </c>
    </row>
    <row r="39" spans="1:14" ht="15.6" x14ac:dyDescent="0.3">
      <c r="A39" s="22" t="s">
        <v>41</v>
      </c>
      <c r="B39" s="17">
        <f t="shared" ref="B39:N39" si="5">SUM(B27:B38)</f>
        <v>4754.0623147606993</v>
      </c>
      <c r="C39" s="17">
        <f t="shared" si="5"/>
        <v>5255.9665790756999</v>
      </c>
      <c r="D39" s="17">
        <f t="shared" si="5"/>
        <v>4976.8389906428001</v>
      </c>
      <c r="E39" s="17">
        <f t="shared" si="5"/>
        <v>5124.5638347774002</v>
      </c>
      <c r="F39" s="17">
        <f t="shared" si="5"/>
        <v>5093.9496573165015</v>
      </c>
      <c r="G39" s="17">
        <f t="shared" si="5"/>
        <v>6485.2706513030007</v>
      </c>
      <c r="H39" s="17">
        <f t="shared" si="5"/>
        <v>5053.2467387778988</v>
      </c>
      <c r="I39" s="17">
        <f t="shared" si="5"/>
        <v>5341.8932400581989</v>
      </c>
      <c r="J39" s="17">
        <f t="shared" si="5"/>
        <v>5749.7343752446986</v>
      </c>
      <c r="K39" s="17">
        <f t="shared" si="5"/>
        <v>5471.3142477259998</v>
      </c>
      <c r="L39" s="17">
        <f t="shared" si="5"/>
        <v>5627.2810050791004</v>
      </c>
      <c r="M39" s="17">
        <f t="shared" si="5"/>
        <v>6141.5685280622001</v>
      </c>
      <c r="N39" s="17">
        <f t="shared" si="5"/>
        <v>65075.690162824205</v>
      </c>
    </row>
    <row r="40" spans="1:14" ht="15.6" x14ac:dyDescent="0.3">
      <c r="A40" s="18" t="s">
        <v>42</v>
      </c>
      <c r="B40" s="17">
        <f t="shared" ref="B40:N40" si="6">+B25-B39</f>
        <v>20883.4337870813</v>
      </c>
      <c r="C40" s="17">
        <f t="shared" si="6"/>
        <v>21027.364538209302</v>
      </c>
      <c r="D40" s="17">
        <f t="shared" si="6"/>
        <v>17455.059626809205</v>
      </c>
      <c r="E40" s="17">
        <f t="shared" si="6"/>
        <v>19215.6224590936</v>
      </c>
      <c r="F40" s="17">
        <f t="shared" si="6"/>
        <v>19288.007101954496</v>
      </c>
      <c r="G40" s="17">
        <f t="shared" si="6"/>
        <v>15942.348717954004</v>
      </c>
      <c r="H40" s="17">
        <f t="shared" si="6"/>
        <v>19563.131318507101</v>
      </c>
      <c r="I40" s="17">
        <f t="shared" si="6"/>
        <v>18255.301629292804</v>
      </c>
      <c r="J40" s="17">
        <f t="shared" si="6"/>
        <v>18692.305447837301</v>
      </c>
      <c r="K40" s="17">
        <f t="shared" si="6"/>
        <v>20194.049417113998</v>
      </c>
      <c r="L40" s="17">
        <f t="shared" si="6"/>
        <v>17792.334375927898</v>
      </c>
      <c r="M40" s="17">
        <f t="shared" si="6"/>
        <v>20743.340571443798</v>
      </c>
      <c r="N40" s="17">
        <f t="shared" si="6"/>
        <v>229052.29899122482</v>
      </c>
    </row>
    <row r="41" spans="1:14" ht="15" customHeight="1" x14ac:dyDescent="0.3">
      <c r="A41" s="33" t="s">
        <v>55</v>
      </c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x14ac:dyDescent="0.3">
      <c r="A42" s="23" t="s">
        <v>43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3">
      <c r="A43" s="25" t="s">
        <v>44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3">
      <c r="A44" s="25" t="s">
        <v>45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6"/>
    </row>
    <row r="45" spans="1:14" x14ac:dyDescent="0.3">
      <c r="A45" s="25" t="s">
        <v>46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"/>
    </row>
    <row r="46" spans="1:14" x14ac:dyDescent="0.3">
      <c r="A46" s="25" t="s">
        <v>47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1"/>
    </row>
    <row r="47" spans="1:14" x14ac:dyDescent="0.3">
      <c r="A47" s="25" t="s">
        <v>48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"/>
    </row>
    <row r="48" spans="1:14" x14ac:dyDescent="0.3">
      <c r="A48" s="25" t="s">
        <v>49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"/>
    </row>
    <row r="49" spans="1:14" x14ac:dyDescent="0.3">
      <c r="A49" s="25" t="s">
        <v>50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1"/>
    </row>
    <row r="50" spans="1:14" x14ac:dyDescent="0.3">
      <c r="A50" s="28" t="s">
        <v>56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1"/>
    </row>
    <row r="51" spans="1:14" x14ac:dyDescent="0.3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2">
    <mergeCell ref="A7:N7"/>
    <mergeCell ref="A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3347-1CD0-40AE-B6AA-A0B5F027107A}">
  <dimension ref="A2:N51"/>
  <sheetViews>
    <sheetView topLeftCell="A23" workbookViewId="0">
      <pane xSplit="1" topLeftCell="I1" activePane="topRight" state="frozen"/>
      <selection activeCell="A4" sqref="A4"/>
      <selection pane="topRight" activeCell="R26" sqref="R26"/>
    </sheetView>
  </sheetViews>
  <sheetFormatPr defaultRowHeight="14.4" x14ac:dyDescent="0.3"/>
  <cols>
    <col min="1" max="1" width="32.44140625" customWidth="1"/>
    <col min="2" max="10" width="17.5546875" customWidth="1"/>
    <col min="11" max="11" width="14.21875" bestFit="1" customWidth="1"/>
    <col min="12" max="12" width="17.5546875" customWidth="1"/>
    <col min="13" max="13" width="14.21875" customWidth="1"/>
    <col min="14" max="14" width="14.44140625" customWidth="1"/>
  </cols>
  <sheetData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0.399999999999999" x14ac:dyDescent="0.35">
      <c r="A4" s="2"/>
      <c r="B4" s="1"/>
      <c r="C4" s="1"/>
      <c r="D4" s="1"/>
      <c r="E4" s="3" t="s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ht="17.399999999999999" x14ac:dyDescent="0.3">
      <c r="A5" s="2"/>
      <c r="B5" s="1"/>
      <c r="C5" s="1"/>
      <c r="D5" s="1"/>
      <c r="E5" s="4"/>
      <c r="F5" s="1"/>
      <c r="G5" s="1"/>
      <c r="H5" s="1"/>
      <c r="I5" s="1"/>
      <c r="J5" s="1"/>
      <c r="K5" s="1"/>
      <c r="L5" s="1"/>
      <c r="M5" s="1"/>
      <c r="N5" s="1"/>
    </row>
    <row r="6" spans="1:14" ht="18" x14ac:dyDescent="0.35">
      <c r="A6" s="5" t="s">
        <v>57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37" t="s">
        <v>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17.399999999999999" x14ac:dyDescent="0.3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7.399999999999999" x14ac:dyDescent="0.3">
      <c r="A9" s="8" t="s">
        <v>3</v>
      </c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9" t="s">
        <v>9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</row>
    <row r="10" spans="1:14" ht="15.6" x14ac:dyDescent="0.3">
      <c r="A10" s="10" t="s">
        <v>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.6" x14ac:dyDescent="0.3">
      <c r="A11" s="12" t="s">
        <v>18</v>
      </c>
      <c r="B11" s="13">
        <v>19996.877330259998</v>
      </c>
      <c r="C11" s="13">
        <v>20705.224408843998</v>
      </c>
      <c r="D11" s="13">
        <v>19879.169660503001</v>
      </c>
      <c r="E11" s="13">
        <v>19507.576904014</v>
      </c>
      <c r="F11" s="13">
        <v>19090.547153690997</v>
      </c>
      <c r="G11" s="13">
        <v>17502.259847149002</v>
      </c>
      <c r="H11" s="13">
        <v>18729.100481555004</v>
      </c>
      <c r="I11" s="13">
        <v>18593.105322284002</v>
      </c>
      <c r="J11" s="13">
        <v>19683.287084798001</v>
      </c>
      <c r="K11" s="13">
        <v>21515.213700792003</v>
      </c>
      <c r="L11" s="13">
        <v>18244.024119147998</v>
      </c>
      <c r="M11" s="13">
        <v>20815.193560039901</v>
      </c>
      <c r="N11" s="14">
        <f>SUM(B11:M11)</f>
        <v>234261.57957307791</v>
      </c>
    </row>
    <row r="12" spans="1:14" ht="15.6" x14ac:dyDescent="0.3">
      <c r="A12" s="12" t="s">
        <v>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4" x14ac:dyDescent="0.3">
      <c r="A13" s="13" t="s">
        <v>20</v>
      </c>
      <c r="B13" s="13">
        <v>1004.249689</v>
      </c>
      <c r="C13" s="13">
        <v>1448.883918</v>
      </c>
      <c r="D13" s="13">
        <v>1320.2456400000001</v>
      </c>
      <c r="E13" s="13">
        <v>1365.6082860000001</v>
      </c>
      <c r="F13" s="13">
        <v>1570.286139</v>
      </c>
      <c r="G13" s="13">
        <v>1619.5058650000001</v>
      </c>
      <c r="H13" s="13">
        <v>1915.601373</v>
      </c>
      <c r="I13" s="13">
        <v>1721.4829590000002</v>
      </c>
      <c r="J13" s="13">
        <v>1564.599827</v>
      </c>
      <c r="K13" s="13">
        <v>1644.5235140000002</v>
      </c>
      <c r="L13" s="13">
        <v>1749.793064</v>
      </c>
      <c r="M13" s="13">
        <v>1589.4170080000001</v>
      </c>
      <c r="N13" s="14">
        <f t="shared" ref="N13:N23" si="0">SUM(B13:M13)</f>
        <v>18514.197282000001</v>
      </c>
    </row>
    <row r="14" spans="1:14" x14ac:dyDescent="0.3">
      <c r="A14" s="15" t="s">
        <v>21</v>
      </c>
      <c r="B14" s="13">
        <v>3.2109999999999999E-3</v>
      </c>
      <c r="C14" s="13">
        <v>4.7359999999999998E-3</v>
      </c>
      <c r="D14" s="13">
        <v>145.88554400000001</v>
      </c>
      <c r="E14" s="13">
        <v>0</v>
      </c>
      <c r="F14" s="13">
        <v>149.29758699999999</v>
      </c>
      <c r="G14" s="13">
        <v>151.146637</v>
      </c>
      <c r="H14" s="13">
        <v>199.77694400000001</v>
      </c>
      <c r="I14" s="13">
        <v>71.282899</v>
      </c>
      <c r="J14" s="13">
        <v>0</v>
      </c>
      <c r="K14" s="13">
        <v>0</v>
      </c>
      <c r="L14" s="13">
        <v>7.6199999999999998E-4</v>
      </c>
      <c r="M14" s="13">
        <v>2.6970000000000002E-3</v>
      </c>
      <c r="N14" s="14">
        <f t="shared" si="0"/>
        <v>717.40101700000014</v>
      </c>
    </row>
    <row r="15" spans="1:14" x14ac:dyDescent="0.3">
      <c r="A15" s="13" t="s">
        <v>22</v>
      </c>
      <c r="B15" s="13">
        <v>56.88165</v>
      </c>
      <c r="C15" s="13">
        <v>33.166741000000002</v>
      </c>
      <c r="D15" s="13">
        <v>189.08444700000001</v>
      </c>
      <c r="E15" s="13">
        <v>38.498307999999994</v>
      </c>
      <c r="F15" s="13">
        <v>113.729923</v>
      </c>
      <c r="G15" s="13">
        <v>154.03360500000002</v>
      </c>
      <c r="H15" s="13">
        <v>250.120059</v>
      </c>
      <c r="I15" s="13">
        <v>114.523843</v>
      </c>
      <c r="J15" s="13">
        <v>200.73381599999999</v>
      </c>
      <c r="K15" s="13">
        <v>55.999560000000002</v>
      </c>
      <c r="L15" s="13">
        <v>1.9662999999999999</v>
      </c>
      <c r="M15" s="13">
        <v>2.0396870000000002</v>
      </c>
      <c r="N15" s="14">
        <f t="shared" si="0"/>
        <v>1210.7779389999998</v>
      </c>
    </row>
    <row r="16" spans="1:14" x14ac:dyDescent="0.3">
      <c r="A16" s="13" t="s">
        <v>23</v>
      </c>
      <c r="B16" s="13">
        <v>0</v>
      </c>
      <c r="C16" s="13">
        <v>0</v>
      </c>
      <c r="D16" s="13">
        <v>0</v>
      </c>
      <c r="E16" s="13">
        <v>0</v>
      </c>
      <c r="F16" s="13">
        <v>2.3500000000000001E-3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>
        <f t="shared" si="0"/>
        <v>2.3500000000000001E-3</v>
      </c>
    </row>
    <row r="17" spans="1:14" x14ac:dyDescent="0.3">
      <c r="A17" s="15" t="s">
        <v>24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>
        <f t="shared" si="0"/>
        <v>0</v>
      </c>
    </row>
    <row r="18" spans="1:14" x14ac:dyDescent="0.3">
      <c r="A18" s="13" t="s">
        <v>25</v>
      </c>
      <c r="B18" s="13">
        <v>1.987533</v>
      </c>
      <c r="C18" s="13">
        <v>1.9086869999999998</v>
      </c>
      <c r="D18" s="13">
        <v>0.62070400000000003</v>
      </c>
      <c r="E18" s="13">
        <v>1.1166259999999999</v>
      </c>
      <c r="F18" s="13">
        <v>4.5464099999999998</v>
      </c>
      <c r="G18" s="13">
        <v>5.1541520000000007</v>
      </c>
      <c r="H18" s="13">
        <v>4.1267160000000001</v>
      </c>
      <c r="I18" s="13">
        <v>1.5162239999999998</v>
      </c>
      <c r="J18" s="13">
        <v>3.0493480000000002</v>
      </c>
      <c r="K18" s="13">
        <v>2.8781879999999997</v>
      </c>
      <c r="L18" s="13">
        <v>10.932403000000001</v>
      </c>
      <c r="M18" s="13">
        <v>4.2219100000000003</v>
      </c>
      <c r="N18" s="14">
        <f t="shared" si="0"/>
        <v>42.058901000000006</v>
      </c>
    </row>
    <row r="19" spans="1:14" x14ac:dyDescent="0.3">
      <c r="A19" s="13" t="s">
        <v>26</v>
      </c>
      <c r="B19" s="13">
        <v>166.767628</v>
      </c>
      <c r="C19" s="13">
        <v>209.31957199999997</v>
      </c>
      <c r="D19" s="13">
        <v>172.81077499999989</v>
      </c>
      <c r="E19" s="13">
        <v>271.4357700000001</v>
      </c>
      <c r="F19" s="13">
        <v>173.49653899999998</v>
      </c>
      <c r="G19" s="13">
        <v>196.958789</v>
      </c>
      <c r="H19" s="13">
        <v>187.10328599999994</v>
      </c>
      <c r="I19" s="13">
        <v>229.21691800000008</v>
      </c>
      <c r="J19" s="13">
        <v>240.45365200000001</v>
      </c>
      <c r="K19" s="13">
        <v>185.69149000000002</v>
      </c>
      <c r="L19" s="13">
        <v>209.38633800000005</v>
      </c>
      <c r="M19" s="13">
        <v>169.83053099999998</v>
      </c>
      <c r="N19" s="14">
        <f t="shared" si="0"/>
        <v>2412.4712880000002</v>
      </c>
    </row>
    <row r="20" spans="1:14" x14ac:dyDescent="0.3">
      <c r="A20" s="13" t="s">
        <v>27</v>
      </c>
      <c r="B20" s="13">
        <v>712.82044000000008</v>
      </c>
      <c r="C20" s="13">
        <v>712.42847399999994</v>
      </c>
      <c r="D20" s="13">
        <v>725.09963800000003</v>
      </c>
      <c r="E20" s="13">
        <v>681.41846199999986</v>
      </c>
      <c r="F20" s="13">
        <v>766.29768899999988</v>
      </c>
      <c r="G20" s="13">
        <v>824.76199299999996</v>
      </c>
      <c r="H20" s="13">
        <v>742.34009700000001</v>
      </c>
      <c r="I20" s="13">
        <v>857.00378400000011</v>
      </c>
      <c r="J20" s="13">
        <v>744.58653500000003</v>
      </c>
      <c r="K20" s="13">
        <v>773.88334099999997</v>
      </c>
      <c r="L20" s="13">
        <v>823.37129099999993</v>
      </c>
      <c r="M20" s="13">
        <v>688.62752799999998</v>
      </c>
      <c r="N20" s="14">
        <f t="shared" si="0"/>
        <v>9052.6392720000003</v>
      </c>
    </row>
    <row r="21" spans="1:14" x14ac:dyDescent="0.3">
      <c r="A21" s="13" t="s">
        <v>28</v>
      </c>
      <c r="B21" s="13">
        <v>360.01576</v>
      </c>
      <c r="C21" s="13">
        <v>369.56879099999998</v>
      </c>
      <c r="D21" s="13">
        <v>247.21395200000001</v>
      </c>
      <c r="E21" s="13">
        <v>231.42738100000003</v>
      </c>
      <c r="F21" s="13">
        <v>231.56766400000001</v>
      </c>
      <c r="G21" s="13">
        <v>220.50546</v>
      </c>
      <c r="H21" s="13">
        <v>284.66293000000002</v>
      </c>
      <c r="I21" s="13">
        <v>227.900293</v>
      </c>
      <c r="J21" s="13">
        <v>239.54884899999999</v>
      </c>
      <c r="K21" s="13">
        <v>245.12136800000002</v>
      </c>
      <c r="L21" s="13">
        <v>249.06697600000001</v>
      </c>
      <c r="M21" s="13">
        <v>337.01784700000002</v>
      </c>
      <c r="N21" s="14">
        <f t="shared" si="0"/>
        <v>3243.6172710000001</v>
      </c>
    </row>
    <row r="22" spans="1:14" x14ac:dyDescent="0.3">
      <c r="A22" s="13" t="s">
        <v>29</v>
      </c>
      <c r="B22" s="13">
        <v>656.68705099999988</v>
      </c>
      <c r="C22" s="13">
        <v>1086.31675</v>
      </c>
      <c r="D22" s="13">
        <v>710.144407</v>
      </c>
      <c r="E22" s="13">
        <v>819.73153000000013</v>
      </c>
      <c r="F22" s="13">
        <v>999.57333000000006</v>
      </c>
      <c r="G22" s="13">
        <v>776.0188609999999</v>
      </c>
      <c r="H22" s="13">
        <v>845.18850099999986</v>
      </c>
      <c r="I22" s="13">
        <v>622.46397300000001</v>
      </c>
      <c r="J22" s="13">
        <v>937.92586700000004</v>
      </c>
      <c r="K22" s="13">
        <v>724.28949799999998</v>
      </c>
      <c r="L22" s="13">
        <v>1345.368387</v>
      </c>
      <c r="M22" s="13">
        <v>1432.0765619999997</v>
      </c>
      <c r="N22" s="14">
        <f t="shared" si="0"/>
        <v>10955.784716999999</v>
      </c>
    </row>
    <row r="23" spans="1:14" x14ac:dyDescent="0.3">
      <c r="A23" s="13" t="s">
        <v>30</v>
      </c>
      <c r="B23" s="13">
        <v>191.35684499999996</v>
      </c>
      <c r="C23" s="13">
        <v>368.80359700000002</v>
      </c>
      <c r="D23" s="13">
        <v>265.90862099999998</v>
      </c>
      <c r="E23" s="13">
        <v>362.73816800000003</v>
      </c>
      <c r="F23" s="13">
        <v>345.93087800000012</v>
      </c>
      <c r="G23" s="13">
        <v>113.31607599999998</v>
      </c>
      <c r="H23" s="13">
        <v>119.25585599999999</v>
      </c>
      <c r="I23" s="13">
        <v>153.21134499999999</v>
      </c>
      <c r="J23" s="13">
        <v>161.917395</v>
      </c>
      <c r="K23" s="13">
        <v>195.91395900000003</v>
      </c>
      <c r="L23" s="13">
        <v>136.41128199999997</v>
      </c>
      <c r="M23" s="13">
        <v>129.110905</v>
      </c>
      <c r="N23" s="14">
        <f t="shared" si="0"/>
        <v>2543.8749270000003</v>
      </c>
    </row>
    <row r="24" spans="1:14" ht="15.6" x14ac:dyDescent="0.3">
      <c r="A24" s="16" t="s">
        <v>31</v>
      </c>
      <c r="B24" s="17">
        <f t="shared" ref="B24:N24" si="1">SUM(B13:B23)</f>
        <v>3150.7698070000001</v>
      </c>
      <c r="C24" s="17">
        <f t="shared" si="1"/>
        <v>4230.4012659999999</v>
      </c>
      <c r="D24" s="17">
        <f t="shared" si="1"/>
        <v>3777.0137280000004</v>
      </c>
      <c r="E24" s="17">
        <f t="shared" si="1"/>
        <v>3771.9745309999998</v>
      </c>
      <c r="F24" s="17">
        <f t="shared" si="1"/>
        <v>4354.7285090000005</v>
      </c>
      <c r="G24" s="17">
        <f t="shared" si="1"/>
        <v>4061.4014380000003</v>
      </c>
      <c r="H24" s="17">
        <f t="shared" si="1"/>
        <v>4548.1757619999998</v>
      </c>
      <c r="I24" s="17">
        <f t="shared" si="1"/>
        <v>3998.6022380000004</v>
      </c>
      <c r="J24" s="17">
        <f t="shared" si="1"/>
        <v>4092.8152889999997</v>
      </c>
      <c r="K24" s="17">
        <f t="shared" si="1"/>
        <v>3828.3009180000004</v>
      </c>
      <c r="L24" s="17">
        <f t="shared" si="1"/>
        <v>4526.2968030000002</v>
      </c>
      <c r="M24" s="17">
        <f t="shared" si="1"/>
        <v>4352.3446750000003</v>
      </c>
      <c r="N24" s="17">
        <f t="shared" si="1"/>
        <v>48692.824963999999</v>
      </c>
    </row>
    <row r="25" spans="1:14" ht="15.6" x14ac:dyDescent="0.3">
      <c r="A25" s="18" t="s">
        <v>32</v>
      </c>
      <c r="B25" s="17">
        <f t="shared" ref="B25:G25" si="2">+B24+B11</f>
        <v>23147.647137259999</v>
      </c>
      <c r="C25" s="17">
        <f t="shared" si="2"/>
        <v>24935.625674843999</v>
      </c>
      <c r="D25" s="17">
        <f t="shared" si="2"/>
        <v>23656.183388503003</v>
      </c>
      <c r="E25" s="17">
        <f t="shared" si="2"/>
        <v>23279.551435014</v>
      </c>
      <c r="F25" s="17">
        <f t="shared" si="2"/>
        <v>23445.275662690998</v>
      </c>
      <c r="G25" s="17">
        <f t="shared" si="2"/>
        <v>21563.661285149003</v>
      </c>
      <c r="H25" s="17">
        <f t="shared" ref="H25:N25" si="3">+H11+H24</f>
        <v>23277.276243555003</v>
      </c>
      <c r="I25" s="17">
        <f t="shared" si="3"/>
        <v>22591.707560284001</v>
      </c>
      <c r="J25" s="17">
        <f t="shared" si="3"/>
        <v>23776.102373797999</v>
      </c>
      <c r="K25" s="17">
        <f t="shared" si="3"/>
        <v>25343.514618792004</v>
      </c>
      <c r="L25" s="17">
        <f t="shared" si="3"/>
        <v>22770.320922147999</v>
      </c>
      <c r="M25" s="17">
        <f t="shared" si="3"/>
        <v>25167.538235039901</v>
      </c>
      <c r="N25" s="17">
        <f t="shared" si="3"/>
        <v>282954.40453707788</v>
      </c>
    </row>
    <row r="26" spans="1:14" ht="15.6" x14ac:dyDescent="0.3">
      <c r="A26" s="19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20" t="s">
        <v>20</v>
      </c>
      <c r="B27" s="13">
        <v>40.230000000000004</v>
      </c>
      <c r="C27" s="13">
        <v>45.915999999999997</v>
      </c>
      <c r="D27" s="13">
        <v>41.224000000000004</v>
      </c>
      <c r="E27" s="13">
        <v>41.137999999999998</v>
      </c>
      <c r="F27" s="13">
        <v>46.627000000000002</v>
      </c>
      <c r="G27" s="13">
        <v>39.502000000000002</v>
      </c>
      <c r="H27" s="13">
        <v>43.369</v>
      </c>
      <c r="I27" s="13">
        <v>44.216000000000001</v>
      </c>
      <c r="J27" s="13">
        <v>45.308999999999997</v>
      </c>
      <c r="K27" s="13">
        <v>45.003</v>
      </c>
      <c r="L27" s="13">
        <v>44.865000000000002</v>
      </c>
      <c r="M27" s="13">
        <v>47.982999999999997</v>
      </c>
      <c r="N27" s="14">
        <f t="shared" ref="N27:N38" si="4">SUM(B27:M27)</f>
        <v>525.38200000000006</v>
      </c>
    </row>
    <row r="28" spans="1:14" x14ac:dyDescent="0.3">
      <c r="A28" s="21" t="s">
        <v>34</v>
      </c>
      <c r="B28" s="13">
        <v>1259.3744905542001</v>
      </c>
      <c r="C28" s="13">
        <v>1254.1523504926001</v>
      </c>
      <c r="D28" s="13">
        <v>1225.0702810162998</v>
      </c>
      <c r="E28" s="13">
        <v>1258.7897341381999</v>
      </c>
      <c r="F28" s="13">
        <v>1174.6731474535998</v>
      </c>
      <c r="G28" s="13">
        <v>993.35183522320006</v>
      </c>
      <c r="H28" s="13">
        <v>671.33076493689998</v>
      </c>
      <c r="I28" s="13">
        <v>872.37561311269997</v>
      </c>
      <c r="J28" s="13">
        <v>1193.3620802012999</v>
      </c>
      <c r="K28" s="13">
        <v>975.03796330550006</v>
      </c>
      <c r="L28" s="13">
        <v>1256.4697269029</v>
      </c>
      <c r="M28" s="13">
        <v>1338.4896853296002</v>
      </c>
      <c r="N28" s="14">
        <f t="shared" si="4"/>
        <v>13472.477672666999</v>
      </c>
    </row>
    <row r="29" spans="1:14" x14ac:dyDescent="0.3">
      <c r="A29" s="20" t="s">
        <v>35</v>
      </c>
      <c r="B29" s="13">
        <v>347.14500200000003</v>
      </c>
      <c r="C29" s="13">
        <v>463.6894999999999</v>
      </c>
      <c r="D29" s="13">
        <v>586.73511599999995</v>
      </c>
      <c r="E29" s="13">
        <v>513.82276999999999</v>
      </c>
      <c r="F29" s="13">
        <v>416.87493500000005</v>
      </c>
      <c r="G29" s="13">
        <v>289.81120299999998</v>
      </c>
      <c r="H29" s="13">
        <v>455.52592499999997</v>
      </c>
      <c r="I29" s="13">
        <v>555.03962499999989</v>
      </c>
      <c r="J29" s="13">
        <v>285.95421900000002</v>
      </c>
      <c r="K29" s="13">
        <v>425.64817999999997</v>
      </c>
      <c r="L29" s="13">
        <v>437.30456400000003</v>
      </c>
      <c r="M29" s="13">
        <v>497.71861699999999</v>
      </c>
      <c r="N29" s="14">
        <f t="shared" si="4"/>
        <v>5275.2696560000004</v>
      </c>
    </row>
    <row r="30" spans="1:14" x14ac:dyDescent="0.3">
      <c r="A30" s="20" t="s">
        <v>36</v>
      </c>
      <c r="B30" s="13">
        <v>630.9367410000001</v>
      </c>
      <c r="C30" s="13">
        <v>682.48616099999992</v>
      </c>
      <c r="D30" s="13">
        <v>717.14462500000002</v>
      </c>
      <c r="E30" s="13">
        <v>782.27724599999999</v>
      </c>
      <c r="F30" s="13">
        <v>900.48310400000003</v>
      </c>
      <c r="G30" s="13">
        <v>489.88545799999997</v>
      </c>
      <c r="H30" s="13">
        <v>529.41667900000004</v>
      </c>
      <c r="I30" s="13">
        <v>743.12418500000001</v>
      </c>
      <c r="J30" s="13">
        <v>770.8458159999999</v>
      </c>
      <c r="K30" s="13">
        <v>727.12066800000002</v>
      </c>
      <c r="L30" s="13">
        <v>815.4070569999999</v>
      </c>
      <c r="M30" s="13">
        <v>790.24616199999991</v>
      </c>
      <c r="N30" s="14">
        <f t="shared" si="4"/>
        <v>8579.3739019999994</v>
      </c>
    </row>
    <row r="31" spans="1:14" x14ac:dyDescent="0.3">
      <c r="A31" s="15" t="s">
        <v>24</v>
      </c>
      <c r="B31" s="13">
        <v>1.3169999999999999</v>
      </c>
      <c r="C31" s="13">
        <v>1.2569999999999999</v>
      </c>
      <c r="D31" s="13">
        <v>1.3280000000000001</v>
      </c>
      <c r="E31" s="13">
        <v>1.0169999999999999</v>
      </c>
      <c r="F31" s="13">
        <v>0.51500000000000001</v>
      </c>
      <c r="G31" s="13">
        <v>0.53700000000000003</v>
      </c>
      <c r="H31" s="13">
        <v>0.64600000000000002</v>
      </c>
      <c r="I31" s="13">
        <v>0.91500000000000004</v>
      </c>
      <c r="J31" s="13">
        <v>0.79900000000000004</v>
      </c>
      <c r="K31" s="13">
        <v>0.94000000000000006</v>
      </c>
      <c r="L31" s="13">
        <v>0.7</v>
      </c>
      <c r="M31" s="13">
        <v>0.92</v>
      </c>
      <c r="N31" s="14">
        <f t="shared" si="4"/>
        <v>10.890999999999998</v>
      </c>
    </row>
    <row r="32" spans="1:14" x14ac:dyDescent="0.3">
      <c r="A32" s="13" t="s">
        <v>25</v>
      </c>
      <c r="B32" s="13">
        <v>1908.6837596197997</v>
      </c>
      <c r="C32" s="13">
        <v>2372.9432519835</v>
      </c>
      <c r="D32" s="13">
        <v>1951.1586187768999</v>
      </c>
      <c r="E32" s="13">
        <v>2385.9135916942</v>
      </c>
      <c r="F32" s="13">
        <v>2616.6510293883998</v>
      </c>
      <c r="G32" s="13">
        <v>2325.8356241404999</v>
      </c>
      <c r="H32" s="13">
        <v>2109.6487671983</v>
      </c>
      <c r="I32" s="13">
        <v>2834.4061508512</v>
      </c>
      <c r="J32" s="13">
        <v>2843.1826472892999</v>
      </c>
      <c r="K32" s="13">
        <v>2024.0985369090995</v>
      </c>
      <c r="L32" s="13">
        <v>2396.2333865868</v>
      </c>
      <c r="M32" s="13">
        <v>2435.6864947520994</v>
      </c>
      <c r="N32" s="14">
        <f t="shared" si="4"/>
        <v>28204.441859190098</v>
      </c>
    </row>
    <row r="33" spans="1:14" x14ac:dyDescent="0.3">
      <c r="A33" s="13" t="s">
        <v>37</v>
      </c>
      <c r="B33" s="13">
        <v>5.3999999999999999E-2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>
        <f t="shared" si="4"/>
        <v>5.3999999999999999E-2</v>
      </c>
    </row>
    <row r="34" spans="1:14" x14ac:dyDescent="0.3">
      <c r="A34" s="13" t="s">
        <v>38</v>
      </c>
      <c r="B34" s="13">
        <v>0.58983657810000001</v>
      </c>
      <c r="C34" s="13">
        <v>0.69715067200000003</v>
      </c>
      <c r="D34" s="13">
        <v>0.92608203210000006</v>
      </c>
      <c r="E34" s="13">
        <v>0.93458054570000015</v>
      </c>
      <c r="F34" s="13">
        <v>2.5419326168000005</v>
      </c>
      <c r="G34" s="13">
        <v>1.4596814061000001</v>
      </c>
      <c r="H34" s="13">
        <v>0.84623156150000012</v>
      </c>
      <c r="I34" s="13">
        <v>1.4588844742</v>
      </c>
      <c r="J34" s="13">
        <v>1.0376349208</v>
      </c>
      <c r="K34" s="13">
        <v>0.83837157390000006</v>
      </c>
      <c r="L34" s="13">
        <v>1.2288570027000001</v>
      </c>
      <c r="M34" s="13">
        <v>2.2490426028999999</v>
      </c>
      <c r="N34" s="14">
        <f t="shared" si="4"/>
        <v>14.8082859868</v>
      </c>
    </row>
    <row r="35" spans="1:14" x14ac:dyDescent="0.3">
      <c r="A35" s="13" t="s">
        <v>27</v>
      </c>
      <c r="B35" s="13">
        <v>28.884160999999999</v>
      </c>
      <c r="C35" s="13">
        <v>87.609487000000001</v>
      </c>
      <c r="D35" s="13">
        <v>137.96652002499999</v>
      </c>
      <c r="E35" s="13">
        <v>178.05662400199998</v>
      </c>
      <c r="F35" s="13">
        <v>261.00136909999998</v>
      </c>
      <c r="G35" s="13">
        <v>226.89624171400001</v>
      </c>
      <c r="H35" s="13">
        <v>147.44859400000001</v>
      </c>
      <c r="I35" s="13">
        <v>197.97108700000001</v>
      </c>
      <c r="J35" s="13">
        <v>193.646242</v>
      </c>
      <c r="K35" s="13">
        <v>248.87273299999998</v>
      </c>
      <c r="L35" s="13">
        <v>138.65335400000001</v>
      </c>
      <c r="M35" s="13">
        <v>255.949735</v>
      </c>
      <c r="N35" s="14">
        <f t="shared" si="4"/>
        <v>2102.9561478410001</v>
      </c>
    </row>
    <row r="36" spans="1:14" x14ac:dyDescent="0.3">
      <c r="A36" s="13" t="s">
        <v>28</v>
      </c>
      <c r="B36" s="13">
        <v>0.78533700000000006</v>
      </c>
      <c r="C36" s="13">
        <v>1.3772906</v>
      </c>
      <c r="D36" s="13">
        <v>1.899</v>
      </c>
      <c r="E36" s="13">
        <v>3.202</v>
      </c>
      <c r="F36" s="13">
        <v>1.60182</v>
      </c>
      <c r="G36" s="13">
        <v>0.2</v>
      </c>
      <c r="H36" s="13">
        <v>0</v>
      </c>
      <c r="I36" s="13">
        <v>0.12</v>
      </c>
      <c r="J36" s="13">
        <v>0.1790484</v>
      </c>
      <c r="K36" s="13">
        <v>3.024</v>
      </c>
      <c r="L36" s="13">
        <v>2.70749</v>
      </c>
      <c r="M36" s="13">
        <v>2.4687099999999997</v>
      </c>
      <c r="N36" s="14">
        <f t="shared" si="4"/>
        <v>17.564695999999998</v>
      </c>
    </row>
    <row r="37" spans="1:14" x14ac:dyDescent="0.3">
      <c r="A37" s="13" t="s">
        <v>39</v>
      </c>
      <c r="B37" s="13">
        <v>11</v>
      </c>
      <c r="C37" s="13">
        <v>16.5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>
        <f t="shared" si="4"/>
        <v>27.5</v>
      </c>
    </row>
    <row r="38" spans="1:14" x14ac:dyDescent="0.3">
      <c r="A38" s="13" t="s">
        <v>40</v>
      </c>
      <c r="B38" s="13">
        <v>139.521826</v>
      </c>
      <c r="C38" s="13">
        <v>384.48935726399998</v>
      </c>
      <c r="D38" s="13">
        <v>354.20208600000001</v>
      </c>
      <c r="E38" s="13">
        <v>255.11163775</v>
      </c>
      <c r="F38" s="13">
        <v>427.38669500000003</v>
      </c>
      <c r="G38" s="13">
        <v>449.85141900000002</v>
      </c>
      <c r="H38" s="13">
        <v>525.15513830100008</v>
      </c>
      <c r="I38" s="13">
        <v>401.64749072999996</v>
      </c>
      <c r="J38" s="13">
        <v>507.47355255400004</v>
      </c>
      <c r="K38" s="13">
        <v>392.41889204300003</v>
      </c>
      <c r="L38" s="13">
        <v>223.99740000000003</v>
      </c>
      <c r="M38" s="13">
        <v>300.89179305800002</v>
      </c>
      <c r="N38" s="14">
        <f t="shared" si="4"/>
        <v>4362.1472877000006</v>
      </c>
    </row>
    <row r="39" spans="1:14" ht="15.6" x14ac:dyDescent="0.3">
      <c r="A39" s="22" t="s">
        <v>41</v>
      </c>
      <c r="B39" s="17">
        <f t="shared" ref="B39:N39" si="5">SUM(B27:B38)</f>
        <v>4368.5221537521011</v>
      </c>
      <c r="C39" s="17">
        <f t="shared" si="5"/>
        <v>5311.1175490121004</v>
      </c>
      <c r="D39" s="17">
        <f t="shared" si="5"/>
        <v>5017.6543288502999</v>
      </c>
      <c r="E39" s="17">
        <f t="shared" si="5"/>
        <v>5420.2631841300999</v>
      </c>
      <c r="F39" s="17">
        <f t="shared" si="5"/>
        <v>5848.3560325588005</v>
      </c>
      <c r="G39" s="17">
        <f t="shared" si="5"/>
        <v>4817.3304624837992</v>
      </c>
      <c r="H39" s="17">
        <f t="shared" si="5"/>
        <v>4483.3870999976998</v>
      </c>
      <c r="I39" s="17">
        <f t="shared" si="5"/>
        <v>5651.2740361680999</v>
      </c>
      <c r="J39" s="17">
        <f t="shared" si="5"/>
        <v>5841.7892403653996</v>
      </c>
      <c r="K39" s="17">
        <f t="shared" si="5"/>
        <v>4843.0023448315005</v>
      </c>
      <c r="L39" s="17">
        <f t="shared" si="5"/>
        <v>5317.5668354924001</v>
      </c>
      <c r="M39" s="17">
        <f t="shared" si="5"/>
        <v>5672.6032397425997</v>
      </c>
      <c r="N39" s="17">
        <f t="shared" si="5"/>
        <v>62592.866507384897</v>
      </c>
    </row>
    <row r="40" spans="1:14" ht="15.6" x14ac:dyDescent="0.3">
      <c r="A40" s="18" t="s">
        <v>42</v>
      </c>
      <c r="B40" s="17">
        <f t="shared" ref="B40:N40" si="6">+B25-B39</f>
        <v>18779.1249835079</v>
      </c>
      <c r="C40" s="17">
        <f t="shared" si="6"/>
        <v>19624.508125831897</v>
      </c>
      <c r="D40" s="17">
        <f t="shared" si="6"/>
        <v>18638.529059652705</v>
      </c>
      <c r="E40" s="17">
        <f t="shared" si="6"/>
        <v>17859.288250883899</v>
      </c>
      <c r="F40" s="17">
        <f t="shared" si="6"/>
        <v>17596.919630132197</v>
      </c>
      <c r="G40" s="17">
        <f t="shared" si="6"/>
        <v>16746.330822665204</v>
      </c>
      <c r="H40" s="17">
        <f t="shared" si="6"/>
        <v>18793.889143557302</v>
      </c>
      <c r="I40" s="17">
        <f t="shared" si="6"/>
        <v>16940.433524115902</v>
      </c>
      <c r="J40" s="17">
        <f t="shared" si="6"/>
        <v>17934.313133432599</v>
      </c>
      <c r="K40" s="17">
        <f t="shared" si="6"/>
        <v>20500.512273960503</v>
      </c>
      <c r="L40" s="17">
        <f t="shared" si="6"/>
        <v>17452.754086655601</v>
      </c>
      <c r="M40" s="17">
        <f t="shared" si="6"/>
        <v>19494.934995297303</v>
      </c>
      <c r="N40" s="17">
        <f t="shared" si="6"/>
        <v>220361.53802969298</v>
      </c>
    </row>
    <row r="41" spans="1:14" ht="15" customHeight="1" x14ac:dyDescent="0.3">
      <c r="A41" s="33" t="s">
        <v>55</v>
      </c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x14ac:dyDescent="0.3">
      <c r="A42" s="23" t="s">
        <v>43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3">
      <c r="A43" s="25" t="s">
        <v>44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3">
      <c r="A44" s="25" t="s">
        <v>45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6"/>
    </row>
    <row r="45" spans="1:14" x14ac:dyDescent="0.3">
      <c r="A45" s="25" t="s">
        <v>46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"/>
    </row>
    <row r="46" spans="1:14" x14ac:dyDescent="0.3">
      <c r="A46" s="25" t="s">
        <v>47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1"/>
    </row>
    <row r="47" spans="1:14" x14ac:dyDescent="0.3">
      <c r="A47" s="25" t="s">
        <v>48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"/>
    </row>
    <row r="48" spans="1:14" x14ac:dyDescent="0.3">
      <c r="A48" s="25" t="s">
        <v>49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"/>
    </row>
    <row r="49" spans="1:14" x14ac:dyDescent="0.3">
      <c r="A49" s="25" t="s">
        <v>50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1"/>
    </row>
    <row r="50" spans="1:14" x14ac:dyDescent="0.3">
      <c r="A50" s="28" t="s">
        <v>56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1"/>
    </row>
    <row r="51" spans="1:14" x14ac:dyDescent="0.3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2">
    <mergeCell ref="A7:N7"/>
    <mergeCell ref="A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Global_CrudeOil_Vol</vt:lpstr>
      <vt:lpstr>India_CrudeOil</vt:lpstr>
      <vt:lpstr>India_import_25-26</vt:lpstr>
      <vt:lpstr>India_import_24-25</vt:lpstr>
      <vt:lpstr>India_inport_23-24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PANT</dc:creator>
  <cp:lastModifiedBy>Nayan Sarkar</cp:lastModifiedBy>
  <dcterms:created xsi:type="dcterms:W3CDTF">2022-12-22T09:22:21Z</dcterms:created>
  <dcterms:modified xsi:type="dcterms:W3CDTF">2026-02-24T05:14:50Z</dcterms:modified>
</cp:coreProperties>
</file>